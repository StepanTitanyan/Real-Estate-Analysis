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ine.hambaryan\AppData\Local\Microsoft\Windows\INetCache\Content.Outlook\30YHWE0Y\"/>
    </mc:Choice>
  </mc:AlternateContent>
  <xr:revisionPtr revIDLastSave="0" documentId="8_{5EAC9044-17EC-4ECA-9712-26ACBD5533B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Yerevan" sheetId="2" r:id="rId1"/>
    <sheet name="Yerevan, varch. shrj." sheetId="3" r:id="rId2"/>
    <sheet name="Marzer" sheetId="4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Z22" i="4" l="1"/>
  <c r="JZ17" i="4"/>
  <c r="IU17" i="4"/>
  <c r="IV17" i="4"/>
  <c r="IW17" i="4"/>
  <c r="IX17" i="4"/>
  <c r="IY17" i="4"/>
  <c r="IZ17" i="4"/>
  <c r="JA17" i="4"/>
  <c r="JB17" i="4"/>
  <c r="JC17" i="4"/>
  <c r="JD17" i="4"/>
  <c r="JE17" i="4"/>
  <c r="JF17" i="4"/>
  <c r="JG17" i="4"/>
  <c r="JH17" i="4"/>
  <c r="JI17" i="4"/>
  <c r="JJ17" i="4"/>
  <c r="JK17" i="4"/>
  <c r="JL17" i="4"/>
  <c r="JM17" i="4"/>
  <c r="JN17" i="4"/>
  <c r="JO17" i="4"/>
  <c r="JP17" i="4"/>
  <c r="JQ17" i="4"/>
  <c r="JR17" i="4"/>
  <c r="JS17" i="4"/>
  <c r="JT17" i="4"/>
  <c r="JU17" i="4"/>
  <c r="JV17" i="4"/>
  <c r="JW17" i="4"/>
  <c r="JX17" i="4"/>
  <c r="JY17" i="4"/>
  <c r="IU18" i="4"/>
  <c r="IV18" i="4"/>
  <c r="IW18" i="4"/>
  <c r="IX18" i="4"/>
  <c r="IY18" i="4"/>
  <c r="IZ18" i="4"/>
  <c r="JA18" i="4"/>
  <c r="JB18" i="4"/>
  <c r="JC18" i="4"/>
  <c r="JD18" i="4"/>
  <c r="JE18" i="4"/>
  <c r="JF18" i="4"/>
  <c r="JG18" i="4"/>
  <c r="JH18" i="4"/>
  <c r="JI18" i="4"/>
  <c r="JJ18" i="4"/>
  <c r="JK18" i="4"/>
  <c r="JL18" i="4"/>
  <c r="JM18" i="4"/>
  <c r="JN18" i="4"/>
  <c r="JO18" i="4"/>
  <c r="JP18" i="4"/>
  <c r="JQ18" i="4"/>
  <c r="JR18" i="4"/>
  <c r="JS18" i="4"/>
  <c r="JT18" i="4"/>
  <c r="JU18" i="4"/>
  <c r="JV18" i="4"/>
  <c r="JW18" i="4"/>
  <c r="JX18" i="4"/>
  <c r="JY18" i="4"/>
  <c r="JZ18" i="4"/>
  <c r="IU19" i="4"/>
  <c r="IV19" i="4"/>
  <c r="IW19" i="4"/>
  <c r="IX19" i="4"/>
  <c r="IY19" i="4"/>
  <c r="IZ19" i="4"/>
  <c r="JA19" i="4"/>
  <c r="JB19" i="4"/>
  <c r="JC19" i="4"/>
  <c r="JD19" i="4"/>
  <c r="JE19" i="4"/>
  <c r="JF19" i="4"/>
  <c r="JG19" i="4"/>
  <c r="JH19" i="4"/>
  <c r="JI19" i="4"/>
  <c r="JJ19" i="4"/>
  <c r="JK19" i="4"/>
  <c r="JL19" i="4"/>
  <c r="JM19" i="4"/>
  <c r="JN19" i="4"/>
  <c r="JO19" i="4"/>
  <c r="JP19" i="4"/>
  <c r="JQ19" i="4"/>
  <c r="JR19" i="4"/>
  <c r="JS19" i="4"/>
  <c r="JT19" i="4"/>
  <c r="JU19" i="4"/>
  <c r="JV19" i="4"/>
  <c r="JW19" i="4"/>
  <c r="JX19" i="4"/>
  <c r="JY19" i="4"/>
  <c r="JZ19" i="4"/>
  <c r="IU20" i="4"/>
  <c r="IV20" i="4"/>
  <c r="IW20" i="4"/>
  <c r="IX20" i="4"/>
  <c r="IY20" i="4"/>
  <c r="IZ20" i="4"/>
  <c r="JA20" i="4"/>
  <c r="JB20" i="4"/>
  <c r="JC20" i="4"/>
  <c r="JD20" i="4"/>
  <c r="JE20" i="4"/>
  <c r="JF20" i="4"/>
  <c r="JG20" i="4"/>
  <c r="JH20" i="4"/>
  <c r="JI20" i="4"/>
  <c r="JJ20" i="4"/>
  <c r="JK20" i="4"/>
  <c r="JL20" i="4"/>
  <c r="JM20" i="4"/>
  <c r="JN20" i="4"/>
  <c r="JO20" i="4"/>
  <c r="JP20" i="4"/>
  <c r="JQ20" i="4"/>
  <c r="JR20" i="4"/>
  <c r="JS20" i="4"/>
  <c r="JT20" i="4"/>
  <c r="JU20" i="4"/>
  <c r="JV20" i="4"/>
  <c r="JW20" i="4"/>
  <c r="JX20" i="4"/>
  <c r="JY20" i="4"/>
  <c r="JZ20" i="4"/>
  <c r="IU21" i="4"/>
  <c r="IV21" i="4"/>
  <c r="IW21" i="4"/>
  <c r="IX21" i="4"/>
  <c r="IY21" i="4"/>
  <c r="IZ21" i="4"/>
  <c r="JA21" i="4"/>
  <c r="JB21" i="4"/>
  <c r="JC21" i="4"/>
  <c r="JD21" i="4"/>
  <c r="JE21" i="4"/>
  <c r="JF21" i="4"/>
  <c r="JG21" i="4"/>
  <c r="JH21" i="4"/>
  <c r="JI21" i="4"/>
  <c r="JJ21" i="4"/>
  <c r="JK21" i="4"/>
  <c r="JL21" i="4"/>
  <c r="JM21" i="4"/>
  <c r="JN21" i="4"/>
  <c r="JO21" i="4"/>
  <c r="JP21" i="4"/>
  <c r="JQ21" i="4"/>
  <c r="JR21" i="4"/>
  <c r="JS21" i="4"/>
  <c r="JT21" i="4"/>
  <c r="JU21" i="4"/>
  <c r="JV21" i="4"/>
  <c r="JW21" i="4"/>
  <c r="JX21" i="4"/>
  <c r="JY21" i="4"/>
  <c r="JZ21" i="4"/>
  <c r="IU22" i="4"/>
  <c r="IV22" i="4"/>
  <c r="IW22" i="4"/>
  <c r="IX22" i="4"/>
  <c r="IY22" i="4"/>
  <c r="IZ22" i="4"/>
  <c r="JA22" i="4"/>
  <c r="JB22" i="4"/>
  <c r="JC22" i="4"/>
  <c r="JD22" i="4"/>
  <c r="JE22" i="4"/>
  <c r="JF22" i="4"/>
  <c r="JG22" i="4"/>
  <c r="JH22" i="4"/>
  <c r="JI22" i="4"/>
  <c r="JJ22" i="4"/>
  <c r="JK22" i="4"/>
  <c r="JL22" i="4"/>
  <c r="JM22" i="4"/>
  <c r="JN22" i="4"/>
  <c r="JO22" i="4"/>
  <c r="JP22" i="4"/>
  <c r="JQ22" i="4"/>
  <c r="JR22" i="4"/>
  <c r="JS22" i="4"/>
  <c r="JT22" i="4"/>
  <c r="JU22" i="4"/>
  <c r="JV22" i="4"/>
  <c r="JW22" i="4"/>
  <c r="JX22" i="4"/>
  <c r="JY22" i="4"/>
  <c r="IU23" i="4"/>
  <c r="IV23" i="4"/>
  <c r="IW23" i="4"/>
  <c r="IX23" i="4"/>
  <c r="IY23" i="4"/>
  <c r="IZ23" i="4"/>
  <c r="JA23" i="4"/>
  <c r="JB23" i="4"/>
  <c r="JC23" i="4"/>
  <c r="JD23" i="4"/>
  <c r="JE23" i="4"/>
  <c r="JF23" i="4"/>
  <c r="JG23" i="4"/>
  <c r="JH23" i="4"/>
  <c r="JI23" i="4"/>
  <c r="JJ23" i="4"/>
  <c r="JK23" i="4"/>
  <c r="JL23" i="4"/>
  <c r="JM23" i="4"/>
  <c r="JN23" i="4"/>
  <c r="JO23" i="4"/>
  <c r="JP23" i="4"/>
  <c r="JQ23" i="4"/>
  <c r="JR23" i="4"/>
  <c r="JS23" i="4"/>
  <c r="JT23" i="4"/>
  <c r="JU23" i="4"/>
  <c r="JV23" i="4"/>
  <c r="JW23" i="4"/>
  <c r="JX23" i="4"/>
  <c r="JY23" i="4"/>
  <c r="JZ23" i="4"/>
  <c r="IU24" i="4"/>
  <c r="IV24" i="4"/>
  <c r="IW24" i="4"/>
  <c r="IX24" i="4"/>
  <c r="IY24" i="4"/>
  <c r="IZ24" i="4"/>
  <c r="JA24" i="4"/>
  <c r="JB24" i="4"/>
  <c r="JC24" i="4"/>
  <c r="JD24" i="4"/>
  <c r="JE24" i="4"/>
  <c r="JF24" i="4"/>
  <c r="JG24" i="4"/>
  <c r="JH24" i="4"/>
  <c r="JI24" i="4"/>
  <c r="JJ24" i="4"/>
  <c r="JK24" i="4"/>
  <c r="JL24" i="4"/>
  <c r="JM24" i="4"/>
  <c r="JN24" i="4"/>
  <c r="JO24" i="4"/>
  <c r="JP24" i="4"/>
  <c r="JQ24" i="4"/>
  <c r="JR24" i="4"/>
  <c r="JS24" i="4"/>
  <c r="JT24" i="4"/>
  <c r="JU24" i="4"/>
  <c r="JV24" i="4"/>
  <c r="JW24" i="4"/>
  <c r="JX24" i="4"/>
  <c r="JY24" i="4"/>
  <c r="JZ24" i="4"/>
  <c r="IU25" i="4"/>
  <c r="IV25" i="4"/>
  <c r="IW25" i="4"/>
  <c r="IX25" i="4"/>
  <c r="IY25" i="4"/>
  <c r="IZ25" i="4"/>
  <c r="JA25" i="4"/>
  <c r="JB25" i="4"/>
  <c r="JC25" i="4"/>
  <c r="JD25" i="4"/>
  <c r="JE25" i="4"/>
  <c r="JF25" i="4"/>
  <c r="JG25" i="4"/>
  <c r="JH25" i="4"/>
  <c r="JI25" i="4"/>
  <c r="JJ25" i="4"/>
  <c r="JK25" i="4"/>
  <c r="JL25" i="4"/>
  <c r="JM25" i="4"/>
  <c r="JN25" i="4"/>
  <c r="JO25" i="4"/>
  <c r="JP25" i="4"/>
  <c r="JQ25" i="4"/>
  <c r="JR25" i="4"/>
  <c r="JS25" i="4"/>
  <c r="JT25" i="4"/>
  <c r="JU25" i="4"/>
  <c r="JV25" i="4"/>
  <c r="JW25" i="4"/>
  <c r="JX25" i="4"/>
  <c r="JY25" i="4"/>
  <c r="JZ25" i="4"/>
  <c r="IU26" i="4"/>
  <c r="IV26" i="4"/>
  <c r="IW26" i="4"/>
  <c r="IX26" i="4"/>
  <c r="IY26" i="4"/>
  <c r="IZ26" i="4"/>
  <c r="JA26" i="4"/>
  <c r="JB26" i="4"/>
  <c r="JC26" i="4"/>
  <c r="JD26" i="4"/>
  <c r="JE26" i="4"/>
  <c r="JF26" i="4"/>
  <c r="JG26" i="4"/>
  <c r="JH26" i="4"/>
  <c r="JI26" i="4"/>
  <c r="JJ26" i="4"/>
  <c r="JK26" i="4"/>
  <c r="JL26" i="4"/>
  <c r="JM26" i="4"/>
  <c r="JN26" i="4"/>
  <c r="JO26" i="4"/>
  <c r="JP26" i="4"/>
  <c r="JQ26" i="4"/>
  <c r="JR26" i="4"/>
  <c r="JS26" i="4"/>
  <c r="JT26" i="4"/>
  <c r="JU26" i="4"/>
  <c r="JV26" i="4"/>
  <c r="JW26" i="4"/>
  <c r="JX26" i="4"/>
  <c r="JY26" i="4"/>
  <c r="JZ26" i="4"/>
  <c r="IT17" i="4"/>
  <c r="IT18" i="4"/>
  <c r="IT19" i="4"/>
  <c r="IT20" i="4"/>
  <c r="IT21" i="4"/>
  <c r="IT22" i="4"/>
  <c r="IT23" i="4"/>
  <c r="IT24" i="4"/>
  <c r="IT25" i="4"/>
  <c r="IT26" i="4"/>
  <c r="IS17" i="4"/>
  <c r="IL26" i="4"/>
  <c r="HQ26" i="4"/>
  <c r="HI26" i="4"/>
  <c r="HH26" i="4"/>
  <c r="HG26" i="4"/>
  <c r="HF26" i="4"/>
  <c r="HE26" i="4"/>
  <c r="HD26" i="4"/>
  <c r="HC26" i="4"/>
  <c r="HB26" i="4"/>
  <c r="HA26" i="4"/>
  <c r="GZ26" i="4"/>
  <c r="GY26" i="4"/>
  <c r="GX26" i="4"/>
  <c r="GW26" i="4"/>
  <c r="GV26" i="4"/>
  <c r="GU26" i="4"/>
  <c r="GT26" i="4"/>
  <c r="GS26" i="4"/>
  <c r="GR26" i="4"/>
  <c r="GQ26" i="4"/>
  <c r="GP26" i="4"/>
  <c r="GO26" i="4"/>
  <c r="GN26" i="4"/>
  <c r="GM26" i="4"/>
  <c r="GL26" i="4"/>
  <c r="GK26" i="4"/>
  <c r="GJ26" i="4"/>
  <c r="GI26" i="4"/>
  <c r="GH26" i="4"/>
  <c r="GG26" i="4"/>
  <c r="GF26" i="4"/>
  <c r="GE26" i="4"/>
  <c r="GD26" i="4"/>
  <c r="GC26" i="4"/>
  <c r="GB26" i="4"/>
  <c r="GA26" i="4"/>
  <c r="FZ26" i="4"/>
  <c r="FY26" i="4"/>
  <c r="FX26" i="4"/>
  <c r="FW26" i="4"/>
  <c r="FV26" i="4"/>
  <c r="FU26" i="4"/>
  <c r="FT26" i="4"/>
  <c r="FS26" i="4"/>
  <c r="FR26" i="4"/>
  <c r="FQ26" i="4"/>
  <c r="FP26" i="4"/>
  <c r="FO26" i="4"/>
  <c r="FN26" i="4"/>
  <c r="FM26" i="4"/>
  <c r="FL26" i="4"/>
  <c r="FK26" i="4"/>
  <c r="FJ26" i="4"/>
  <c r="FI26" i="4"/>
  <c r="FH26" i="4"/>
  <c r="FG26" i="4"/>
  <c r="FF26" i="4"/>
  <c r="FE26" i="4"/>
  <c r="FD26" i="4"/>
  <c r="FC26" i="4"/>
  <c r="FB26" i="4"/>
  <c r="FA26" i="4"/>
  <c r="EZ26" i="4"/>
  <c r="EY26" i="4"/>
  <c r="EX26" i="4"/>
  <c r="EW26" i="4"/>
  <c r="EV26" i="4"/>
  <c r="EU26" i="4"/>
  <c r="ET26" i="4"/>
  <c r="ES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F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IR25" i="4"/>
  <c r="IJ25" i="4"/>
  <c r="HO25" i="4"/>
  <c r="HI25" i="4"/>
  <c r="HH25" i="4"/>
  <c r="HG25" i="4"/>
  <c r="HF25" i="4"/>
  <c r="HE25" i="4"/>
  <c r="HD25" i="4"/>
  <c r="HC25" i="4"/>
  <c r="HB25" i="4"/>
  <c r="HA25" i="4"/>
  <c r="GZ25" i="4"/>
  <c r="GY25" i="4"/>
  <c r="GX25" i="4"/>
  <c r="GW25" i="4"/>
  <c r="GV25" i="4"/>
  <c r="GU25" i="4"/>
  <c r="GT25" i="4"/>
  <c r="GS25" i="4"/>
  <c r="GR25" i="4"/>
  <c r="GQ25" i="4"/>
  <c r="GP25" i="4"/>
  <c r="GO25" i="4"/>
  <c r="GN25" i="4"/>
  <c r="GM25" i="4"/>
  <c r="GL25" i="4"/>
  <c r="GK25" i="4"/>
  <c r="GJ25" i="4"/>
  <c r="GI25" i="4"/>
  <c r="GH25" i="4"/>
  <c r="GG25" i="4"/>
  <c r="GF25" i="4"/>
  <c r="GE25" i="4"/>
  <c r="GD25" i="4"/>
  <c r="GC25" i="4"/>
  <c r="GB25" i="4"/>
  <c r="GA25" i="4"/>
  <c r="FZ25" i="4"/>
  <c r="FY25" i="4"/>
  <c r="FX25" i="4"/>
  <c r="FW25" i="4"/>
  <c r="FV25" i="4"/>
  <c r="FU25" i="4"/>
  <c r="FT25" i="4"/>
  <c r="FS25" i="4"/>
  <c r="FR25" i="4"/>
  <c r="FQ25" i="4"/>
  <c r="FP25" i="4"/>
  <c r="FO25" i="4"/>
  <c r="FN25" i="4"/>
  <c r="FM25" i="4"/>
  <c r="FL25" i="4"/>
  <c r="FK25" i="4"/>
  <c r="FJ25" i="4"/>
  <c r="FI25" i="4"/>
  <c r="FH25" i="4"/>
  <c r="FG25" i="4"/>
  <c r="FF25" i="4"/>
  <c r="FE25" i="4"/>
  <c r="FD25" i="4"/>
  <c r="FC25" i="4"/>
  <c r="FB25" i="4"/>
  <c r="FA25" i="4"/>
  <c r="EZ25" i="4"/>
  <c r="EY25" i="4"/>
  <c r="EX25" i="4"/>
  <c r="EW25" i="4"/>
  <c r="EV25" i="4"/>
  <c r="EU25" i="4"/>
  <c r="ET25" i="4"/>
  <c r="ES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F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IP24" i="4"/>
  <c r="HU24" i="4"/>
  <c r="HM24" i="4"/>
  <c r="HI24" i="4"/>
  <c r="HH24" i="4"/>
  <c r="HG24" i="4"/>
  <c r="HF24" i="4"/>
  <c r="HE24" i="4"/>
  <c r="HD24" i="4"/>
  <c r="HC24" i="4"/>
  <c r="HB24" i="4"/>
  <c r="HA24" i="4"/>
  <c r="GZ24" i="4"/>
  <c r="GY24" i="4"/>
  <c r="GX24" i="4"/>
  <c r="GW24" i="4"/>
  <c r="GV24" i="4"/>
  <c r="GU24" i="4"/>
  <c r="GT24" i="4"/>
  <c r="GS24" i="4"/>
  <c r="GR24" i="4"/>
  <c r="GQ24" i="4"/>
  <c r="GP24" i="4"/>
  <c r="GO24" i="4"/>
  <c r="GN24" i="4"/>
  <c r="GM24" i="4"/>
  <c r="GL24" i="4"/>
  <c r="GK24" i="4"/>
  <c r="GJ24" i="4"/>
  <c r="GI24" i="4"/>
  <c r="GH24" i="4"/>
  <c r="GG24" i="4"/>
  <c r="GF24" i="4"/>
  <c r="GE24" i="4"/>
  <c r="GD24" i="4"/>
  <c r="GC24" i="4"/>
  <c r="GB24" i="4"/>
  <c r="GA24" i="4"/>
  <c r="FZ24" i="4"/>
  <c r="FY24" i="4"/>
  <c r="FX24" i="4"/>
  <c r="FW24" i="4"/>
  <c r="FV24" i="4"/>
  <c r="FU24" i="4"/>
  <c r="FT24" i="4"/>
  <c r="FS24" i="4"/>
  <c r="FR24" i="4"/>
  <c r="FQ24" i="4"/>
  <c r="FP24" i="4"/>
  <c r="FO24" i="4"/>
  <c r="FN24" i="4"/>
  <c r="FM24" i="4"/>
  <c r="FL24" i="4"/>
  <c r="FK24" i="4"/>
  <c r="FJ24" i="4"/>
  <c r="FI24" i="4"/>
  <c r="FH24" i="4"/>
  <c r="FG24" i="4"/>
  <c r="FF24" i="4"/>
  <c r="FE24" i="4"/>
  <c r="FD24" i="4"/>
  <c r="FC24" i="4"/>
  <c r="FB24" i="4"/>
  <c r="FA24" i="4"/>
  <c r="EZ24" i="4"/>
  <c r="EY24" i="4"/>
  <c r="EX24" i="4"/>
  <c r="EW24" i="4"/>
  <c r="EV24" i="4"/>
  <c r="EU24" i="4"/>
  <c r="ET24" i="4"/>
  <c r="ES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HI23" i="4"/>
  <c r="HH23" i="4"/>
  <c r="HG23" i="4"/>
  <c r="HF23" i="4"/>
  <c r="HE23" i="4"/>
  <c r="HD23" i="4"/>
  <c r="HC23" i="4"/>
  <c r="HB23" i="4"/>
  <c r="HA23" i="4"/>
  <c r="GZ23" i="4"/>
  <c r="GY23" i="4"/>
  <c r="GX23" i="4"/>
  <c r="GW23" i="4"/>
  <c r="GV23" i="4"/>
  <c r="GU23" i="4"/>
  <c r="GT23" i="4"/>
  <c r="GS23" i="4"/>
  <c r="GR23" i="4"/>
  <c r="GQ23" i="4"/>
  <c r="GP23" i="4"/>
  <c r="GO23" i="4"/>
  <c r="GN23" i="4"/>
  <c r="GM23" i="4"/>
  <c r="GL23" i="4"/>
  <c r="GK23" i="4"/>
  <c r="GJ23" i="4"/>
  <c r="GI23" i="4"/>
  <c r="GH23" i="4"/>
  <c r="GG23" i="4"/>
  <c r="GF23" i="4"/>
  <c r="GE23" i="4"/>
  <c r="GD23" i="4"/>
  <c r="GC23" i="4"/>
  <c r="GB23" i="4"/>
  <c r="GA23" i="4"/>
  <c r="FZ23" i="4"/>
  <c r="FY23" i="4"/>
  <c r="FX23" i="4"/>
  <c r="FW23" i="4"/>
  <c r="FV23" i="4"/>
  <c r="FU23" i="4"/>
  <c r="FT23" i="4"/>
  <c r="FS23" i="4"/>
  <c r="FR23" i="4"/>
  <c r="FQ23" i="4"/>
  <c r="FP23" i="4"/>
  <c r="FO23" i="4"/>
  <c r="FN23" i="4"/>
  <c r="FM23" i="4"/>
  <c r="FL23" i="4"/>
  <c r="FK23" i="4"/>
  <c r="FJ23" i="4"/>
  <c r="FI23" i="4"/>
  <c r="FH23" i="4"/>
  <c r="FG23" i="4"/>
  <c r="FF23" i="4"/>
  <c r="FE23" i="4"/>
  <c r="FD23" i="4"/>
  <c r="FC23" i="4"/>
  <c r="FB23" i="4"/>
  <c r="FA23" i="4"/>
  <c r="EZ23" i="4"/>
  <c r="EY23" i="4"/>
  <c r="EX23" i="4"/>
  <c r="EW23" i="4"/>
  <c r="EV23" i="4"/>
  <c r="EU23" i="4"/>
  <c r="ET23" i="4"/>
  <c r="ES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F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HI22" i="4"/>
  <c r="HH22" i="4"/>
  <c r="HG22" i="4"/>
  <c r="HF22" i="4"/>
  <c r="HE22" i="4"/>
  <c r="HD22" i="4"/>
  <c r="HC22" i="4"/>
  <c r="HB22" i="4"/>
  <c r="HA22" i="4"/>
  <c r="GZ22" i="4"/>
  <c r="GY22" i="4"/>
  <c r="GX22" i="4"/>
  <c r="GW22" i="4"/>
  <c r="GV22" i="4"/>
  <c r="GU22" i="4"/>
  <c r="GT22" i="4"/>
  <c r="GS22" i="4"/>
  <c r="GR22" i="4"/>
  <c r="GQ22" i="4"/>
  <c r="GP22" i="4"/>
  <c r="GO22" i="4"/>
  <c r="GN22" i="4"/>
  <c r="GM22" i="4"/>
  <c r="GL22" i="4"/>
  <c r="GK22" i="4"/>
  <c r="GJ22" i="4"/>
  <c r="GI22" i="4"/>
  <c r="GH22" i="4"/>
  <c r="GG22" i="4"/>
  <c r="GF22" i="4"/>
  <c r="GE22" i="4"/>
  <c r="GD22" i="4"/>
  <c r="GC22" i="4"/>
  <c r="GB22" i="4"/>
  <c r="GA22" i="4"/>
  <c r="FZ22" i="4"/>
  <c r="FY22" i="4"/>
  <c r="FX22" i="4"/>
  <c r="FW22" i="4"/>
  <c r="FV22" i="4"/>
  <c r="FU22" i="4"/>
  <c r="FT22" i="4"/>
  <c r="FS22" i="4"/>
  <c r="FR22" i="4"/>
  <c r="FQ22" i="4"/>
  <c r="FP22" i="4"/>
  <c r="FO22" i="4"/>
  <c r="FN22" i="4"/>
  <c r="FM22" i="4"/>
  <c r="FL22" i="4"/>
  <c r="FK22" i="4"/>
  <c r="FJ22" i="4"/>
  <c r="FI22" i="4"/>
  <c r="FH22" i="4"/>
  <c r="FG22" i="4"/>
  <c r="FF22" i="4"/>
  <c r="FE22" i="4"/>
  <c r="FD22" i="4"/>
  <c r="FC22" i="4"/>
  <c r="FB22" i="4"/>
  <c r="FA22" i="4"/>
  <c r="EZ22" i="4"/>
  <c r="EY22" i="4"/>
  <c r="EX22" i="4"/>
  <c r="EW22" i="4"/>
  <c r="EV22" i="4"/>
  <c r="EU22" i="4"/>
  <c r="ET22" i="4"/>
  <c r="ES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IR21" i="4"/>
  <c r="IJ21" i="4"/>
  <c r="HO21" i="4"/>
  <c r="HI21" i="4"/>
  <c r="HH21" i="4"/>
  <c r="HG21" i="4"/>
  <c r="HF21" i="4"/>
  <c r="HE21" i="4"/>
  <c r="HD21" i="4"/>
  <c r="HC21" i="4"/>
  <c r="HB21" i="4"/>
  <c r="HA21" i="4"/>
  <c r="GZ21" i="4"/>
  <c r="GY21" i="4"/>
  <c r="GX21" i="4"/>
  <c r="GW21" i="4"/>
  <c r="GV21" i="4"/>
  <c r="GU21" i="4"/>
  <c r="GT21" i="4"/>
  <c r="GS21" i="4"/>
  <c r="GR21" i="4"/>
  <c r="GQ21" i="4"/>
  <c r="GP21" i="4"/>
  <c r="GO21" i="4"/>
  <c r="GN21" i="4"/>
  <c r="GM21" i="4"/>
  <c r="GL21" i="4"/>
  <c r="GK21" i="4"/>
  <c r="GJ21" i="4"/>
  <c r="GI21" i="4"/>
  <c r="GH21" i="4"/>
  <c r="GG21" i="4"/>
  <c r="GF21" i="4"/>
  <c r="GE21" i="4"/>
  <c r="GD21" i="4"/>
  <c r="GC21" i="4"/>
  <c r="GB21" i="4"/>
  <c r="GA21" i="4"/>
  <c r="FZ21" i="4"/>
  <c r="FY21" i="4"/>
  <c r="FX21" i="4"/>
  <c r="FW21" i="4"/>
  <c r="FV21" i="4"/>
  <c r="FU21" i="4"/>
  <c r="FT21" i="4"/>
  <c r="FS21" i="4"/>
  <c r="FR21" i="4"/>
  <c r="FQ21" i="4"/>
  <c r="FP21" i="4"/>
  <c r="FO21" i="4"/>
  <c r="FN21" i="4"/>
  <c r="FM21" i="4"/>
  <c r="FL21" i="4"/>
  <c r="FK21" i="4"/>
  <c r="FJ21" i="4"/>
  <c r="FI21" i="4"/>
  <c r="FH21" i="4"/>
  <c r="FG21" i="4"/>
  <c r="FF21" i="4"/>
  <c r="FE21" i="4"/>
  <c r="FD21" i="4"/>
  <c r="FC21" i="4"/>
  <c r="FB21" i="4"/>
  <c r="FA21" i="4"/>
  <c r="EZ21" i="4"/>
  <c r="EY21" i="4"/>
  <c r="EX21" i="4"/>
  <c r="EW21" i="4"/>
  <c r="EV21" i="4"/>
  <c r="EU21" i="4"/>
  <c r="ET21" i="4"/>
  <c r="ES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F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IP20" i="4"/>
  <c r="HU20" i="4"/>
  <c r="HM20" i="4"/>
  <c r="HI20" i="4"/>
  <c r="HH20" i="4"/>
  <c r="HG20" i="4"/>
  <c r="HF20" i="4"/>
  <c r="HE20" i="4"/>
  <c r="HD20" i="4"/>
  <c r="HC20" i="4"/>
  <c r="HB20" i="4"/>
  <c r="HA20" i="4"/>
  <c r="GZ20" i="4"/>
  <c r="GY20" i="4"/>
  <c r="GX20" i="4"/>
  <c r="GW20" i="4"/>
  <c r="GV20" i="4"/>
  <c r="GU20" i="4"/>
  <c r="GT20" i="4"/>
  <c r="GS20" i="4"/>
  <c r="GR20" i="4"/>
  <c r="GQ20" i="4"/>
  <c r="GP20" i="4"/>
  <c r="GO20" i="4"/>
  <c r="GN20" i="4"/>
  <c r="GM20" i="4"/>
  <c r="GL20" i="4"/>
  <c r="GK20" i="4"/>
  <c r="GJ20" i="4"/>
  <c r="GI20" i="4"/>
  <c r="GH20" i="4"/>
  <c r="GG20" i="4"/>
  <c r="GF20" i="4"/>
  <c r="GE20" i="4"/>
  <c r="GD20" i="4"/>
  <c r="GC20" i="4"/>
  <c r="GB20" i="4"/>
  <c r="GA20" i="4"/>
  <c r="FZ20" i="4"/>
  <c r="FY20" i="4"/>
  <c r="FX20" i="4"/>
  <c r="FW20" i="4"/>
  <c r="FV20" i="4"/>
  <c r="FU20" i="4"/>
  <c r="FT20" i="4"/>
  <c r="FS20" i="4"/>
  <c r="FR20" i="4"/>
  <c r="FQ20" i="4"/>
  <c r="FP20" i="4"/>
  <c r="FO20" i="4"/>
  <c r="FN20" i="4"/>
  <c r="FM20" i="4"/>
  <c r="FL20" i="4"/>
  <c r="FK20" i="4"/>
  <c r="FJ20" i="4"/>
  <c r="FI20" i="4"/>
  <c r="FH20" i="4"/>
  <c r="FG20" i="4"/>
  <c r="FF20" i="4"/>
  <c r="FE20" i="4"/>
  <c r="FD20" i="4"/>
  <c r="FC20" i="4"/>
  <c r="FB20" i="4"/>
  <c r="FA20" i="4"/>
  <c r="EZ20" i="4"/>
  <c r="EY20" i="4"/>
  <c r="EX20" i="4"/>
  <c r="EW20" i="4"/>
  <c r="EV20" i="4"/>
  <c r="EU20" i="4"/>
  <c r="ET20" i="4"/>
  <c r="ES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IN19" i="4"/>
  <c r="HS19" i="4"/>
  <c r="HK19" i="4"/>
  <c r="HI19" i="4"/>
  <c r="HH19" i="4"/>
  <c r="HG19" i="4"/>
  <c r="HF19" i="4"/>
  <c r="HE19" i="4"/>
  <c r="HD19" i="4"/>
  <c r="HC19" i="4"/>
  <c r="HB19" i="4"/>
  <c r="HA19" i="4"/>
  <c r="GZ19" i="4"/>
  <c r="GY19" i="4"/>
  <c r="GX19" i="4"/>
  <c r="GW19" i="4"/>
  <c r="GV19" i="4"/>
  <c r="GU19" i="4"/>
  <c r="GT19" i="4"/>
  <c r="GS19" i="4"/>
  <c r="GR19" i="4"/>
  <c r="GQ19" i="4"/>
  <c r="GP19" i="4"/>
  <c r="GO19" i="4"/>
  <c r="GN19" i="4"/>
  <c r="GM19" i="4"/>
  <c r="GL19" i="4"/>
  <c r="GK19" i="4"/>
  <c r="GJ19" i="4"/>
  <c r="GI19" i="4"/>
  <c r="GH19" i="4"/>
  <c r="GG19" i="4"/>
  <c r="GF19" i="4"/>
  <c r="GE19" i="4"/>
  <c r="GD19" i="4"/>
  <c r="GC19" i="4"/>
  <c r="GB19" i="4"/>
  <c r="GA19" i="4"/>
  <c r="FZ19" i="4"/>
  <c r="FY19" i="4"/>
  <c r="FX19" i="4"/>
  <c r="FW19" i="4"/>
  <c r="FV19" i="4"/>
  <c r="FU19" i="4"/>
  <c r="FT19" i="4"/>
  <c r="FS19" i="4"/>
  <c r="FR19" i="4"/>
  <c r="FQ19" i="4"/>
  <c r="FP19" i="4"/>
  <c r="FO19" i="4"/>
  <c r="FN19" i="4"/>
  <c r="FM19" i="4"/>
  <c r="FL19" i="4"/>
  <c r="FK19" i="4"/>
  <c r="FJ19" i="4"/>
  <c r="FI19" i="4"/>
  <c r="FH19" i="4"/>
  <c r="FG19" i="4"/>
  <c r="FF19" i="4"/>
  <c r="FE19" i="4"/>
  <c r="FD19" i="4"/>
  <c r="FC19" i="4"/>
  <c r="FB19" i="4"/>
  <c r="FA19" i="4"/>
  <c r="EZ19" i="4"/>
  <c r="EY19" i="4"/>
  <c r="EX19" i="4"/>
  <c r="EW19" i="4"/>
  <c r="EV19" i="4"/>
  <c r="EU19" i="4"/>
  <c r="ET19" i="4"/>
  <c r="ES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F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IL18" i="4"/>
  <c r="HQ18" i="4"/>
  <c r="HI18" i="4"/>
  <c r="HH18" i="4"/>
  <c r="HG18" i="4"/>
  <c r="HF18" i="4"/>
  <c r="HE18" i="4"/>
  <c r="HD18" i="4"/>
  <c r="HC18" i="4"/>
  <c r="HB18" i="4"/>
  <c r="HA18" i="4"/>
  <c r="GZ18" i="4"/>
  <c r="GY18" i="4"/>
  <c r="GX18" i="4"/>
  <c r="GW18" i="4"/>
  <c r="GV18" i="4"/>
  <c r="GU18" i="4"/>
  <c r="GT18" i="4"/>
  <c r="GS18" i="4"/>
  <c r="GR18" i="4"/>
  <c r="GQ18" i="4"/>
  <c r="GP18" i="4"/>
  <c r="GO18" i="4"/>
  <c r="GN18" i="4"/>
  <c r="GM18" i="4"/>
  <c r="GL18" i="4"/>
  <c r="GK18" i="4"/>
  <c r="GJ18" i="4"/>
  <c r="GI18" i="4"/>
  <c r="GH18" i="4"/>
  <c r="GG18" i="4"/>
  <c r="GF18" i="4"/>
  <c r="GE18" i="4"/>
  <c r="GD18" i="4"/>
  <c r="GC18" i="4"/>
  <c r="GB18" i="4"/>
  <c r="GA18" i="4"/>
  <c r="FZ18" i="4"/>
  <c r="FY18" i="4"/>
  <c r="FX18" i="4"/>
  <c r="FW18" i="4"/>
  <c r="FV18" i="4"/>
  <c r="FU18" i="4"/>
  <c r="FT18" i="4"/>
  <c r="FS18" i="4"/>
  <c r="FR18" i="4"/>
  <c r="FQ18" i="4"/>
  <c r="FP18" i="4"/>
  <c r="FO18" i="4"/>
  <c r="FN18" i="4"/>
  <c r="FM18" i="4"/>
  <c r="FL18" i="4"/>
  <c r="FK18" i="4"/>
  <c r="FJ18" i="4"/>
  <c r="FI18" i="4"/>
  <c r="FH18" i="4"/>
  <c r="FG18" i="4"/>
  <c r="FF18" i="4"/>
  <c r="FE18" i="4"/>
  <c r="FD18" i="4"/>
  <c r="FC18" i="4"/>
  <c r="FB18" i="4"/>
  <c r="FA18" i="4"/>
  <c r="EZ18" i="4"/>
  <c r="EY18" i="4"/>
  <c r="EX18" i="4"/>
  <c r="EW18" i="4"/>
  <c r="EV18" i="4"/>
  <c r="EU18" i="4"/>
  <c r="ET18" i="4"/>
  <c r="ES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F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IR17" i="4"/>
  <c r="IJ17" i="4"/>
  <c r="HO17" i="4"/>
  <c r="HI17" i="4"/>
  <c r="HH17" i="4"/>
  <c r="HG17" i="4"/>
  <c r="HF17" i="4"/>
  <c r="HE17" i="4"/>
  <c r="HD17" i="4"/>
  <c r="HC17" i="4"/>
  <c r="HB17" i="4"/>
  <c r="HA17" i="4"/>
  <c r="GZ17" i="4"/>
  <c r="GY17" i="4"/>
  <c r="GX17" i="4"/>
  <c r="GW17" i="4"/>
  <c r="GV17" i="4"/>
  <c r="GU17" i="4"/>
  <c r="GT17" i="4"/>
  <c r="GS17" i="4"/>
  <c r="GR17" i="4"/>
  <c r="GQ17" i="4"/>
  <c r="GP17" i="4"/>
  <c r="GO17" i="4"/>
  <c r="GN17" i="4"/>
  <c r="GM17" i="4"/>
  <c r="GL17" i="4"/>
  <c r="GK17" i="4"/>
  <c r="GJ17" i="4"/>
  <c r="GI17" i="4"/>
  <c r="GH17" i="4"/>
  <c r="GG17" i="4"/>
  <c r="GF17" i="4"/>
  <c r="GE17" i="4"/>
  <c r="GD17" i="4"/>
  <c r="GC17" i="4"/>
  <c r="GB17" i="4"/>
  <c r="GA17" i="4"/>
  <c r="FZ17" i="4"/>
  <c r="FY17" i="4"/>
  <c r="FX17" i="4"/>
  <c r="FW17" i="4"/>
  <c r="FV17" i="4"/>
  <c r="FU17" i="4"/>
  <c r="FT17" i="4"/>
  <c r="FS17" i="4"/>
  <c r="FR17" i="4"/>
  <c r="FQ17" i="4"/>
  <c r="FP17" i="4"/>
  <c r="FO17" i="4"/>
  <c r="FN17" i="4"/>
  <c r="FM17" i="4"/>
  <c r="FL17" i="4"/>
  <c r="FK17" i="4"/>
  <c r="FJ17" i="4"/>
  <c r="FI17" i="4"/>
  <c r="FH17" i="4"/>
  <c r="FG17" i="4"/>
  <c r="FF17" i="4"/>
  <c r="FE17" i="4"/>
  <c r="FD17" i="4"/>
  <c r="FC17" i="4"/>
  <c r="FB17" i="4"/>
  <c r="FA17" i="4"/>
  <c r="EZ17" i="4"/>
  <c r="EY17" i="4"/>
  <c r="EX17" i="4"/>
  <c r="EW17" i="4"/>
  <c r="EV17" i="4"/>
  <c r="EU17" i="4"/>
  <c r="ET17" i="4"/>
  <c r="ES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IS26" i="4"/>
  <c r="IR26" i="4"/>
  <c r="IQ26" i="4"/>
  <c r="IP26" i="4"/>
  <c r="IO26" i="4"/>
  <c r="IN26" i="4"/>
  <c r="IM26" i="4"/>
  <c r="IK26" i="4"/>
  <c r="IJ26" i="4"/>
  <c r="II26" i="4"/>
  <c r="HU26" i="4"/>
  <c r="HT26" i="4"/>
  <c r="HS26" i="4"/>
  <c r="HR26" i="4"/>
  <c r="HP26" i="4"/>
  <c r="HO26" i="4"/>
  <c r="HN26" i="4"/>
  <c r="HM26" i="4"/>
  <c r="HL26" i="4"/>
  <c r="HK26" i="4"/>
  <c r="HJ26" i="4"/>
  <c r="IS25" i="4"/>
  <c r="IQ25" i="4"/>
  <c r="IP25" i="4"/>
  <c r="IO25" i="4"/>
  <c r="IN25" i="4"/>
  <c r="IM25" i="4"/>
  <c r="IL25" i="4"/>
  <c r="IK25" i="4"/>
  <c r="II25" i="4"/>
  <c r="HU25" i="4"/>
  <c r="HT25" i="4"/>
  <c r="HS25" i="4"/>
  <c r="HR25" i="4"/>
  <c r="HQ25" i="4"/>
  <c r="HP25" i="4"/>
  <c r="HN25" i="4"/>
  <c r="HM25" i="4"/>
  <c r="HL25" i="4"/>
  <c r="HK25" i="4"/>
  <c r="HJ25" i="4"/>
  <c r="IS24" i="4"/>
  <c r="IR24" i="4"/>
  <c r="IQ24" i="4"/>
  <c r="IO24" i="4"/>
  <c r="IN24" i="4"/>
  <c r="IM24" i="4"/>
  <c r="IL24" i="4"/>
  <c r="IK24" i="4"/>
  <c r="IJ24" i="4"/>
  <c r="II24" i="4"/>
  <c r="HT24" i="4"/>
  <c r="HS24" i="4"/>
  <c r="HR24" i="4"/>
  <c r="HQ24" i="4"/>
  <c r="HP24" i="4"/>
  <c r="HO24" i="4"/>
  <c r="HN24" i="4"/>
  <c r="HL24" i="4"/>
  <c r="HK24" i="4"/>
  <c r="HJ24" i="4"/>
  <c r="IS23" i="4"/>
  <c r="IR23" i="4"/>
  <c r="IQ23" i="4"/>
  <c r="IP23" i="4"/>
  <c r="IO23" i="4"/>
  <c r="IM23" i="4"/>
  <c r="IL23" i="4"/>
  <c r="IK23" i="4"/>
  <c r="IJ23" i="4"/>
  <c r="II23" i="4"/>
  <c r="HU23" i="4"/>
  <c r="HT23" i="4"/>
  <c r="HR23" i="4"/>
  <c r="HQ23" i="4"/>
  <c r="HP23" i="4"/>
  <c r="HO23" i="4"/>
  <c r="HN23" i="4"/>
  <c r="HM23" i="4"/>
  <c r="HL23" i="4"/>
  <c r="HJ23" i="4"/>
  <c r="IS22" i="4"/>
  <c r="IR22" i="4"/>
  <c r="IQ22" i="4"/>
  <c r="IP22" i="4"/>
  <c r="IO22" i="4"/>
  <c r="IN22" i="4"/>
  <c r="IM22" i="4"/>
  <c r="IL22" i="4"/>
  <c r="IK22" i="4"/>
  <c r="IJ22" i="4"/>
  <c r="II22" i="4"/>
  <c r="HU22" i="4"/>
  <c r="HT22" i="4"/>
  <c r="HS22" i="4"/>
  <c r="HR22" i="4"/>
  <c r="HQ22" i="4"/>
  <c r="HP22" i="4"/>
  <c r="HO22" i="4"/>
  <c r="HN22" i="4"/>
  <c r="HM22" i="4"/>
  <c r="HL22" i="4"/>
  <c r="HK22" i="4"/>
  <c r="HJ22" i="4"/>
  <c r="IS21" i="4"/>
  <c r="IQ21" i="4"/>
  <c r="IP21" i="4"/>
  <c r="IO21" i="4"/>
  <c r="IN21" i="4"/>
  <c r="IM21" i="4"/>
  <c r="IL21" i="4"/>
  <c r="IK21" i="4"/>
  <c r="II21" i="4"/>
  <c r="HU21" i="4"/>
  <c r="HT21" i="4"/>
  <c r="HS21" i="4"/>
  <c r="HR21" i="4"/>
  <c r="HQ21" i="4"/>
  <c r="HP21" i="4"/>
  <c r="HN21" i="4"/>
  <c r="HM21" i="4"/>
  <c r="HL21" i="4"/>
  <c r="HK21" i="4"/>
  <c r="HJ21" i="4"/>
  <c r="IS20" i="4"/>
  <c r="IR20" i="4"/>
  <c r="IQ20" i="4"/>
  <c r="IO20" i="4"/>
  <c r="IN20" i="4"/>
  <c r="IM20" i="4"/>
  <c r="IL20" i="4"/>
  <c r="IK20" i="4"/>
  <c r="IJ20" i="4"/>
  <c r="II20" i="4"/>
  <c r="HT20" i="4"/>
  <c r="HS20" i="4"/>
  <c r="HR20" i="4"/>
  <c r="HQ20" i="4"/>
  <c r="HP20" i="4"/>
  <c r="HO20" i="4"/>
  <c r="HN20" i="4"/>
  <c r="HL20" i="4"/>
  <c r="HK20" i="4"/>
  <c r="HJ20" i="4"/>
  <c r="IS19" i="4"/>
  <c r="IR19" i="4"/>
  <c r="IQ19" i="4"/>
  <c r="IP19" i="4"/>
  <c r="IO19" i="4"/>
  <c r="IM19" i="4"/>
  <c r="IL19" i="4"/>
  <c r="IK19" i="4"/>
  <c r="IJ19" i="4"/>
  <c r="II19" i="4"/>
  <c r="HU19" i="4"/>
  <c r="HT19" i="4"/>
  <c r="HR19" i="4"/>
  <c r="HQ19" i="4"/>
  <c r="HP19" i="4"/>
  <c r="HO19" i="4"/>
  <c r="HN19" i="4"/>
  <c r="HM19" i="4"/>
  <c r="HL19" i="4"/>
  <c r="HJ19" i="4"/>
  <c r="IS18" i="4"/>
  <c r="IR18" i="4"/>
  <c r="IQ18" i="4"/>
  <c r="IP18" i="4"/>
  <c r="IO18" i="4"/>
  <c r="IN18" i="4"/>
  <c r="IM18" i="4"/>
  <c r="IK18" i="4"/>
  <c r="IJ18" i="4"/>
  <c r="II18" i="4"/>
  <c r="HU18" i="4"/>
  <c r="HT18" i="4"/>
  <c r="HS18" i="4"/>
  <c r="HR18" i="4"/>
  <c r="HP18" i="4"/>
  <c r="HO18" i="4"/>
  <c r="HN18" i="4"/>
  <c r="HM18" i="4"/>
  <c r="HL18" i="4"/>
  <c r="HK18" i="4"/>
  <c r="HJ18" i="4"/>
  <c r="IQ17" i="4"/>
  <c r="IP17" i="4"/>
  <c r="IO17" i="4"/>
  <c r="IN17" i="4"/>
  <c r="IM17" i="4"/>
  <c r="IL17" i="4"/>
  <c r="IK17" i="4"/>
  <c r="II17" i="4"/>
  <c r="HU17" i="4"/>
  <c r="HT17" i="4"/>
  <c r="HS17" i="4"/>
  <c r="HR17" i="4"/>
  <c r="HQ17" i="4"/>
  <c r="HP17" i="4"/>
  <c r="HN17" i="4"/>
  <c r="HM17" i="4"/>
  <c r="HL17" i="4"/>
  <c r="HK17" i="4"/>
  <c r="HJ17" i="4"/>
  <c r="N286" i="3"/>
  <c r="A286" i="3"/>
  <c r="N285" i="3"/>
  <c r="A285" i="3"/>
  <c r="N284" i="3"/>
  <c r="A284" i="3"/>
  <c r="N283" i="3"/>
  <c r="A283" i="3"/>
  <c r="N282" i="3"/>
  <c r="A282" i="3"/>
  <c r="N281" i="3"/>
  <c r="A281" i="3"/>
  <c r="N280" i="3"/>
  <c r="A280" i="3"/>
  <c r="N279" i="3"/>
  <c r="A279" i="3"/>
  <c r="N278" i="3"/>
  <c r="A278" i="3"/>
  <c r="N277" i="3"/>
  <c r="A277" i="3"/>
  <c r="N276" i="3"/>
  <c r="A276" i="3"/>
  <c r="N275" i="3"/>
  <c r="A275" i="3"/>
  <c r="N274" i="3"/>
  <c r="A274" i="3"/>
  <c r="N273" i="3"/>
  <c r="A273" i="3"/>
  <c r="N272" i="3"/>
  <c r="A272" i="3"/>
  <c r="N271" i="3"/>
  <c r="A271" i="3"/>
  <c r="N270" i="3"/>
  <c r="A270" i="3"/>
  <c r="N269" i="3"/>
  <c r="A269" i="3"/>
  <c r="N268" i="3"/>
  <c r="A268" i="3"/>
  <c r="N267" i="3"/>
  <c r="A267" i="3"/>
  <c r="N266" i="3"/>
  <c r="A266" i="3"/>
  <c r="N265" i="3"/>
  <c r="A265" i="3"/>
  <c r="N264" i="3"/>
  <c r="A264" i="3"/>
  <c r="N263" i="3"/>
  <c r="A263" i="3"/>
  <c r="N262" i="3"/>
  <c r="A262" i="3"/>
  <c r="N261" i="3"/>
  <c r="A261" i="3"/>
  <c r="N260" i="3"/>
  <c r="A260" i="3"/>
  <c r="N259" i="3"/>
  <c r="A259" i="3"/>
  <c r="N258" i="3"/>
  <c r="A258" i="3"/>
  <c r="N257" i="3"/>
  <c r="A257" i="3"/>
  <c r="N256" i="3"/>
  <c r="A256" i="3"/>
  <c r="N255" i="3"/>
  <c r="A255" i="3"/>
  <c r="N254" i="3"/>
  <c r="A254" i="3"/>
  <c r="N253" i="3"/>
  <c r="N252" i="3"/>
  <c r="A252" i="3"/>
  <c r="N251" i="3"/>
  <c r="A251" i="3"/>
  <c r="N250" i="3"/>
  <c r="A250" i="3"/>
  <c r="N249" i="3"/>
  <c r="A249" i="3"/>
  <c r="N248" i="3"/>
  <c r="A248" i="3"/>
  <c r="N247" i="3"/>
  <c r="A247" i="3"/>
  <c r="N246" i="3"/>
  <c r="A246" i="3"/>
  <c r="N245" i="3"/>
  <c r="A245" i="3"/>
  <c r="N244" i="3"/>
  <c r="A244" i="3"/>
  <c r="N243" i="3"/>
  <c r="A243" i="3"/>
  <c r="N242" i="3"/>
  <c r="A242" i="3"/>
  <c r="N241" i="3"/>
  <c r="A241" i="3"/>
  <c r="N240" i="3"/>
  <c r="A240" i="3"/>
  <c r="N239" i="3"/>
  <c r="A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N2" i="3"/>
  <c r="HS23" i="4" l="1"/>
  <c r="HK23" i="4"/>
  <c r="IN23" i="4"/>
  <c r="D286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14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</author>
  </authors>
  <commentList>
    <comment ref="B141" authorId="0" shapeId="0" xr:uid="{0438D48B-F792-4717-9F84-17053D4F257A}">
      <text>
        <r>
          <rPr>
            <b/>
            <sz val="9"/>
            <color indexed="81"/>
            <rFont val="Tahoma"/>
            <family val="2"/>
          </rPr>
          <t>ՀՀ ԿԲ հաշվարկ (մինչ հրապարակվի պաշտոնական ցուցանիշը)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2" authorId="0" shapeId="0" xr:uid="{5143B9D9-7EC1-45DE-9F4E-439A7B83D6CD}">
      <text>
        <r>
          <rPr>
            <b/>
            <sz val="9"/>
            <color indexed="81"/>
            <rFont val="Tahoma"/>
            <family val="2"/>
          </rPr>
          <t>ՀՀ ԿԲ հաշվարկ (մինչ հրապարակվի պաշտոնական ցուցանիշը)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3" authorId="0" shapeId="0" xr:uid="{4295EF09-F62E-4ECA-952D-ACA3B6DE2B09}">
      <text>
        <r>
          <rPr>
            <b/>
            <sz val="9"/>
            <color indexed="81"/>
            <rFont val="Tahoma"/>
            <family val="2"/>
          </rPr>
          <t>ՀՀ ԿԲ հաշվարկ (մինչ հրապարակվի պաշտոնական ցուցանիշը)</t>
        </r>
      </text>
    </comment>
    <comment ref="B149" authorId="0" shapeId="0" xr:uid="{8D4B5380-2E57-4768-8025-F55DB4DCDBB2}">
      <text>
        <r>
          <rPr>
            <b/>
            <sz val="9"/>
            <color indexed="81"/>
            <rFont val="Tahoma"/>
            <family val="2"/>
          </rPr>
          <t>ՀՀ ԿԲ հաշվարկ (ներկայումս ՀՀ ԱՎԾ կողմից Ք.Երևանի միջին գին չի հրապարակվում)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<sst xmlns="http://schemas.openxmlformats.org/spreadsheetml/2006/main" count="39" uniqueCount="29">
  <si>
    <t>Բազմաբնակարան բնակելի շենքերի բնակարանների, 1քմ մակերեսի հաշվարկով, շուկայական միջին գները (ք. Երևան), դրամ</t>
  </si>
  <si>
    <t>Բազմաբնակարան բնակելի շենքերի բնակարանների, 1քմ մակերեսի հաշվարկով, շուկայական միջին դրամային գների փոփոխությունը նախորդ ամսվա համեմատ (ք. Երևան), %</t>
  </si>
  <si>
    <t>Բազմաբնակարան բնակելի շենքերի բնակարանների, 1քմ մակերեսի հաշվարկով, շուկայական միջին դրամային գների փոփոխությունը նախորդ տարվա նույն ամսվա համեմատ (ք. Երևան), %</t>
  </si>
  <si>
    <t>Կենտրոն</t>
  </si>
  <si>
    <t>Արաբկիր</t>
  </si>
  <si>
    <t>Քանաքեռ-Զեյթուն</t>
  </si>
  <si>
    <t>Նոր-Նորք</t>
  </si>
  <si>
    <t>Էրեբունի</t>
  </si>
  <si>
    <t>Շենգավիթ</t>
  </si>
  <si>
    <t>Դավթաշեն</t>
  </si>
  <si>
    <t>Աջափնյակ</t>
  </si>
  <si>
    <t>Մալաթիա-Սեբաստիա</t>
  </si>
  <si>
    <t>Ավան</t>
  </si>
  <si>
    <t>Նորք-Մարաշ</t>
  </si>
  <si>
    <t>Նուբարաշեն</t>
  </si>
  <si>
    <t>Միջին գին</t>
  </si>
  <si>
    <t>Բազմաբնակարան բնակելի շենքերի բնակարանների, 1քմ մակերեսի հաշվարկով, շուկայական միջին գները մարզերում, դրամ</t>
  </si>
  <si>
    <t>Մարզեր</t>
  </si>
  <si>
    <t xml:space="preserve">Արագածոտն </t>
  </si>
  <si>
    <t xml:space="preserve">Արարատ </t>
  </si>
  <si>
    <t xml:space="preserve">Արմավիր </t>
  </si>
  <si>
    <t xml:space="preserve">Գեղարքունիք </t>
  </si>
  <si>
    <t xml:space="preserve">Լոռի </t>
  </si>
  <si>
    <t xml:space="preserve">Կոտայք </t>
  </si>
  <si>
    <t xml:space="preserve">Շիրակ </t>
  </si>
  <si>
    <t xml:space="preserve">Սյունիք </t>
  </si>
  <si>
    <t xml:space="preserve">Վայոց Ձոր </t>
  </si>
  <si>
    <t xml:space="preserve">Տավուշ </t>
  </si>
  <si>
    <t>mtom,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</si>
</sst>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0"/>
      <name val="GHEA Grapalat"/>
      <family val="3"/>
    </font>
    <font>
      <sz val="10"/>
      <name val="Arial"/>
      <family val="2"/>
    </font>
    <font>
      <i/>
      <sz val="10"/>
      <name val="GHEA Grapalat"/>
      <family val="3"/>
    </font>
    <font>
      <sz val="10"/>
      <name val="Times Armenian"/>
      <family val="1"/>
    </font>
    <font>
      <sz val="10"/>
      <color theme="1"/>
      <name val="GHEA Grapalat"/>
      <family val="3"/>
    </font>
    <font>
      <sz val="10"/>
      <color rgb="FF0070C0"/>
      <name val="GHEA Grapalat"/>
      <family val="3"/>
    </font>
    <font>
      <sz val="10"/>
      <color rgb="FF00B050"/>
      <name val="GHEA Grapalat"/>
      <family val="3"/>
    </font>
    <font>
      <i/>
      <sz val="10"/>
      <color indexed="8"/>
      <name val="GHEA Grapalat"/>
      <family val="3"/>
    </font>
    <font>
      <sz val="10"/>
      <color indexed="8"/>
      <name val="GHEA Grapalat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color theme="1"/>
      <name val="GHEA Grapalat"/>
      <family val="3"/>
    </font>
    <font>
      <sz val="11"/>
      <color rgb="FF0070C0"/>
      <name val="Times Armenian"/>
      <family val="2"/>
    </font>
    <font>
      <sz val="11"/>
      <color theme="1"/>
      <name val="Times Armenian"/>
      <family val="2"/>
    </font>
    <font>
      <b/>
      <sz val="10"/>
      <color indexed="8"/>
      <name val="GHEA Grapalat"/>
      <family val="3"/>
    </font>
    <font>
      <sz val="11"/>
      <color theme="1"/>
      <name val="GHEA Grapalat"/>
      <family val="3"/>
    </font>
    <font>
      <sz val="10"/>
      <color rgb="FF000000"/>
      <name val="GHEA Grapalat"/>
      <family val="3"/>
    </font>
    <font>
      <b/>
      <sz val="18"/>
      <color indexed="8"/>
      <name val="GHEA Grapalat"/>
      <family val="3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4" fillId="0" borderId="1" xfId="2" applyNumberFormat="1" applyFont="1" applyBorder="1" applyAlignment="1">
      <alignment horizontal="left"/>
    </xf>
    <xf numFmtId="1" fontId="6" fillId="0" borderId="1" xfId="3" applyNumberFormat="1" applyFont="1" applyBorder="1" applyAlignment="1">
      <alignment horizontal="center" vertical="center" wrapText="1"/>
    </xf>
    <xf numFmtId="1" fontId="7" fillId="3" borderId="1" xfId="3" applyNumberFormat="1" applyFont="1" applyFill="1" applyBorder="1" applyAlignment="1">
      <alignment horizontal="center" vertical="center" wrapText="1"/>
    </xf>
    <xf numFmtId="1" fontId="7" fillId="3" borderId="1" xfId="4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8" fillId="4" borderId="1" xfId="3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10" fillId="0" borderId="0" xfId="0" applyFont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14" fontId="4" fillId="5" borderId="1" xfId="2" applyNumberFormat="1" applyFont="1" applyFill="1" applyBorder="1" applyAlignment="1">
      <alignment horizontal="left"/>
    </xf>
    <xf numFmtId="1" fontId="14" fillId="5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" fillId="0" borderId="0" xfId="0" applyFont="1"/>
    <xf numFmtId="1" fontId="0" fillId="0" borderId="0" xfId="0" applyNumberFormat="1"/>
    <xf numFmtId="2" fontId="0" fillId="0" borderId="0" xfId="0" applyNumberFormat="1"/>
    <xf numFmtId="165" fontId="15" fillId="0" borderId="0" xfId="1" applyNumberFormat="1" applyFont="1"/>
    <xf numFmtId="9" fontId="15" fillId="0" borderId="0" xfId="1" applyFont="1"/>
    <xf numFmtId="2" fontId="15" fillId="0" borderId="0" xfId="1" applyNumberFormat="1" applyFont="1"/>
    <xf numFmtId="164" fontId="15" fillId="0" borderId="0" xfId="1" applyNumberFormat="1" applyFont="1"/>
    <xf numFmtId="17" fontId="16" fillId="0" borderId="1" xfId="0" applyNumberFormat="1" applyFont="1" applyBorder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left" wrapText="1"/>
    </xf>
    <xf numFmtId="164" fontId="0" fillId="0" borderId="0" xfId="0" applyNumberFormat="1"/>
    <xf numFmtId="0" fontId="10" fillId="0" borderId="0" xfId="0" applyFont="1"/>
    <xf numFmtId="1" fontId="0" fillId="0" borderId="0" xfId="0" applyNumberFormat="1" applyFill="1"/>
    <xf numFmtId="17" fontId="16" fillId="0" borderId="2" xfId="0" applyNumberFormat="1" applyFont="1" applyBorder="1" applyAlignment="1">
      <alignment horizontal="center"/>
    </xf>
    <xf numFmtId="1" fontId="0" fillId="0" borderId="0" xfId="0" applyNumberFormat="1" applyFill="1" applyBorder="1"/>
    <xf numFmtId="1" fontId="0" fillId="0" borderId="3" xfId="0" applyNumberFormat="1" applyFill="1" applyBorder="1"/>
    <xf numFmtId="164" fontId="0" fillId="0" borderId="0" xfId="0" applyNumberFormat="1" applyBorder="1"/>
    <xf numFmtId="164" fontId="0" fillId="0" borderId="3" xfId="0" applyNumberFormat="1" applyBorder="1"/>
    <xf numFmtId="0" fontId="10" fillId="2" borderId="0" xfId="0" applyFont="1" applyFill="1" applyAlignment="1">
      <alignment horizontal="center" vertical="center" wrapText="1"/>
    </xf>
    <xf numFmtId="0" fontId="16" fillId="2" borderId="1" xfId="0" applyFont="1" applyFill="1" applyBorder="1"/>
    <xf numFmtId="0" fontId="18" fillId="2" borderId="1" xfId="0" applyFont="1" applyFill="1" applyBorder="1" applyAlignment="1">
      <alignment horizontal="left" wrapText="1"/>
    </xf>
    <xf numFmtId="0" fontId="19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5" xfId="2" xr:uid="{43442FCB-B312-40B6-9BE2-D6FAAF144CAC}"/>
    <cellStyle name="Normal 8" xfId="3" xr:uid="{7A53AFAA-3BF7-47F8-9960-4089497C8365}"/>
    <cellStyle name="Percent" xfId="1" builtinId="5"/>
    <cellStyle name="Style 1" xfId="4" xr:uid="{42A86A31-B9FD-4114-BB16-CE7920CEB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badom\STATISTICS\10.3\Databank\Prices\Cadastre\Cadastre.monthly.xls" TargetMode="External"/><Relationship Id="rId1" Type="http://schemas.openxmlformats.org/officeDocument/2006/relationships/externalLinkPath" Target="file:///\\cbadom\STATISTICS\10.3\Databank\Prices\Cadastre\Cadastre.month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dom\STATISTICS\10.3\Databank\Prices\2023-&#1387;%20&#1392;&#1377;&#1396;&#1377;&#1408;%20&#1411;&#1400;&#1411;&#1400;&#1389;&#1396;&#1377;&#1398;%20&#1381;&#1398;&#1385;&#1377;&#1391;&#1377;%20&#1414;&#1377;&#1397;&#1388;&#1381;&#1408;\Cadastre.monthly%20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rcarqneri qanak"/>
      <sheetName val="qanakErevanVarchakan"/>
      <sheetName val="gorcarqnery yst tesakneri"/>
      <sheetName val="Yerevan bazm. varch.shrj"/>
      <sheetName val="Yerevan bazmabnakaran"/>
      <sheetName val="Yerevan gorcarqi koxmer"/>
      <sheetName val="Yerevan varch. karucapatoxic"/>
      <sheetName val="Yerevan karucapatox bazm.varch"/>
      <sheetName val="Marzer bazmabnakaran"/>
      <sheetName val="Marzer bazmabnakaran 2023-"/>
      <sheetName val="Varcakalutyun"/>
      <sheetName val="Hipoteqayin gravadrum"/>
      <sheetName val="PASTE EXCHANGE RATES"/>
      <sheetName val="Marzer index"/>
      <sheetName val="Marzer index 2023-"/>
      <sheetName val="old_Marzer anhatakan"/>
      <sheetName val="old_Yerevan anhatakan "/>
    </sheetNames>
    <sheetDataSet>
      <sheetData sheetId="0"/>
      <sheetData sheetId="1"/>
      <sheetData sheetId="2">
        <row r="227">
          <cell r="A227">
            <v>44500</v>
          </cell>
        </row>
        <row r="228">
          <cell r="A228">
            <v>44530</v>
          </cell>
        </row>
        <row r="229">
          <cell r="A229">
            <v>44561</v>
          </cell>
        </row>
        <row r="230">
          <cell r="A230">
            <v>44592</v>
          </cell>
        </row>
        <row r="231">
          <cell r="A231">
            <v>44620</v>
          </cell>
        </row>
        <row r="232">
          <cell r="A232">
            <v>44651</v>
          </cell>
        </row>
        <row r="233">
          <cell r="A233">
            <v>44681</v>
          </cell>
        </row>
        <row r="234">
          <cell r="A234">
            <v>44712</v>
          </cell>
        </row>
        <row r="235">
          <cell r="A235">
            <v>44742</v>
          </cell>
        </row>
        <row r="236">
          <cell r="A236">
            <v>44773</v>
          </cell>
        </row>
        <row r="237">
          <cell r="A237">
            <v>44804</v>
          </cell>
        </row>
        <row r="238">
          <cell r="A238">
            <v>44834</v>
          </cell>
        </row>
        <row r="239">
          <cell r="A239">
            <v>44865</v>
          </cell>
        </row>
        <row r="240">
          <cell r="A240">
            <v>44895</v>
          </cell>
        </row>
        <row r="254">
          <cell r="A254">
            <v>45322</v>
          </cell>
        </row>
        <row r="255">
          <cell r="A255">
            <v>45351</v>
          </cell>
        </row>
        <row r="256">
          <cell r="A256">
            <v>45382</v>
          </cell>
        </row>
        <row r="257">
          <cell r="A257">
            <v>45412</v>
          </cell>
        </row>
        <row r="258">
          <cell r="A258">
            <v>45443</v>
          </cell>
        </row>
        <row r="259">
          <cell r="A259">
            <v>45473</v>
          </cell>
        </row>
        <row r="260">
          <cell r="A260">
            <v>45504</v>
          </cell>
        </row>
        <row r="261">
          <cell r="A261">
            <v>45535</v>
          </cell>
        </row>
        <row r="262">
          <cell r="A262">
            <v>45565</v>
          </cell>
        </row>
        <row r="263">
          <cell r="A263">
            <v>45596</v>
          </cell>
        </row>
        <row r="264">
          <cell r="A264">
            <v>45626</v>
          </cell>
        </row>
        <row r="265">
          <cell r="A265">
            <v>45657</v>
          </cell>
        </row>
        <row r="266">
          <cell r="A266">
            <v>45688</v>
          </cell>
        </row>
        <row r="267">
          <cell r="A267">
            <v>45716</v>
          </cell>
        </row>
        <row r="268">
          <cell r="A268">
            <v>45747</v>
          </cell>
        </row>
        <row r="269">
          <cell r="A269">
            <v>45777</v>
          </cell>
        </row>
        <row r="270">
          <cell r="A270">
            <v>45808</v>
          </cell>
        </row>
        <row r="271">
          <cell r="A271">
            <v>45838</v>
          </cell>
        </row>
        <row r="272">
          <cell r="A272">
            <v>45869</v>
          </cell>
        </row>
        <row r="273">
          <cell r="A273">
            <v>45900</v>
          </cell>
        </row>
        <row r="274">
          <cell r="A274">
            <v>45930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rcarqneri qanak"/>
      <sheetName val="qanakErevanVarchakan"/>
      <sheetName val="gorcarqnery yst tesakneri"/>
      <sheetName val="Yerevan bazm. varch.shrj"/>
      <sheetName val="Yerevan bazmabnakaran"/>
      <sheetName val="Marzer bazmabnakaran"/>
      <sheetName val="Hipoteqayin gravadrum"/>
      <sheetName val="PASTE EXCHANGE RATES"/>
      <sheetName val="Marzer index"/>
      <sheetName val="old_Marzer anhatakan"/>
      <sheetName val="old_Yerevan anhatakan "/>
    </sheetNames>
    <sheetDataSet>
      <sheetData sheetId="0" refreshError="1"/>
      <sheetData sheetId="1" refreshError="1"/>
      <sheetData sheetId="2" refreshError="1">
        <row r="242">
          <cell r="A242">
            <v>44957</v>
          </cell>
        </row>
        <row r="243">
          <cell r="A243">
            <v>44985</v>
          </cell>
        </row>
        <row r="244">
          <cell r="A244">
            <v>45016</v>
          </cell>
        </row>
        <row r="245">
          <cell r="A245">
            <v>45046</v>
          </cell>
        </row>
        <row r="246">
          <cell r="A246">
            <v>45077</v>
          </cell>
        </row>
        <row r="247">
          <cell r="A247">
            <v>45107</v>
          </cell>
        </row>
        <row r="248">
          <cell r="A248">
            <v>45138</v>
          </cell>
        </row>
        <row r="249">
          <cell r="A249">
            <v>45169</v>
          </cell>
        </row>
        <row r="250">
          <cell r="A250">
            <v>45199</v>
          </cell>
        </row>
        <row r="251">
          <cell r="A251">
            <v>45230</v>
          </cell>
        </row>
        <row r="252">
          <cell r="A252">
            <v>45260</v>
          </cell>
        </row>
        <row r="253">
          <cell r="A253">
            <v>45291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C1BB-2FF3-4F80-9C90-B2DF95621AFD}">
  <dimension ref="A1:D328"/>
  <sheetViews>
    <sheetView workbookViewId="0">
      <pane xSplit="1" ySplit="1" topLeftCell="B260" activePane="bottomRight" state="frozen"/>
      <selection pane="topRight" activeCell="B1" sqref="B1"/>
      <selection pane="bottomLeft" activeCell="A2" sqref="A2"/>
      <selection pane="bottomRight" activeCell="B278" sqref="B278"/>
    </sheetView>
  </sheetViews>
  <sheetFormatPr defaultRowHeight="15" x14ac:dyDescent="0.25"/>
  <cols>
    <col min="1" max="1" width="13.85546875" style="9" customWidth="1"/>
    <col min="2" max="2" width="19.28515625" style="10" customWidth="1"/>
    <col min="3" max="4" width="30.140625" customWidth="1"/>
  </cols>
  <sheetData>
    <row r="1" spans="1:4" ht="114" x14ac:dyDescent="0.25">
      <c r="A1" s="1"/>
      <c r="B1" s="1" t="s">
        <v>0</v>
      </c>
      <c r="C1" s="1" t="s">
        <v>1</v>
      </c>
      <c r="D1" s="1" t="s">
        <v>2</v>
      </c>
    </row>
    <row r="2" spans="1:4" x14ac:dyDescent="0.25">
      <c r="A2" s="2">
        <v>37287</v>
      </c>
      <c r="B2" s="3">
        <v>57254.12</v>
      </c>
      <c r="C2" s="11"/>
      <c r="D2" s="11"/>
    </row>
    <row r="3" spans="1:4" x14ac:dyDescent="0.25">
      <c r="A3" s="2">
        <v>37315</v>
      </c>
      <c r="B3" s="3">
        <v>57828.143999999993</v>
      </c>
      <c r="C3" s="11">
        <f>IFERROR(B3/B2*100,"")</f>
        <v>101.00258985728885</v>
      </c>
      <c r="D3" s="11"/>
    </row>
    <row r="4" spans="1:4" x14ac:dyDescent="0.25">
      <c r="A4" s="2">
        <v>37346</v>
      </c>
      <c r="B4" s="3">
        <v>59727.240000000005</v>
      </c>
      <c r="C4" s="11">
        <f t="shared" ref="C4:C67" si="0">IFERROR(B4/B3*100,"")</f>
        <v>103.28403415471887</v>
      </c>
      <c r="D4" s="11"/>
    </row>
    <row r="5" spans="1:4" x14ac:dyDescent="0.25">
      <c r="A5" s="2">
        <v>37376</v>
      </c>
      <c r="B5" s="3">
        <v>60202.070999999989</v>
      </c>
      <c r="C5" s="11">
        <f t="shared" si="0"/>
        <v>100.79499906575289</v>
      </c>
      <c r="D5" s="11"/>
    </row>
    <row r="6" spans="1:4" x14ac:dyDescent="0.25">
      <c r="A6" s="2">
        <v>37407</v>
      </c>
      <c r="B6" s="3">
        <v>61565.859999999993</v>
      </c>
      <c r="C6" s="11">
        <f t="shared" si="0"/>
        <v>102.26535229992338</v>
      </c>
      <c r="D6" s="11"/>
    </row>
    <row r="7" spans="1:4" x14ac:dyDescent="0.25">
      <c r="A7" s="2">
        <v>37437</v>
      </c>
      <c r="B7" s="3">
        <v>62886.560999999994</v>
      </c>
      <c r="C7" s="11">
        <f t="shared" si="0"/>
        <v>102.14518403543782</v>
      </c>
      <c r="D7" s="11"/>
    </row>
    <row r="8" spans="1:4" x14ac:dyDescent="0.25">
      <c r="A8" s="2">
        <v>37468</v>
      </c>
      <c r="B8" s="3">
        <v>65054.350000000006</v>
      </c>
      <c r="C8" s="11">
        <f t="shared" si="0"/>
        <v>103.44714191001796</v>
      </c>
      <c r="D8" s="11"/>
    </row>
    <row r="9" spans="1:4" x14ac:dyDescent="0.25">
      <c r="A9" s="2">
        <v>37499</v>
      </c>
      <c r="B9" s="3">
        <v>68411.350000000006</v>
      </c>
      <c r="C9" s="11">
        <f t="shared" si="0"/>
        <v>105.16030057943857</v>
      </c>
      <c r="D9" s="11"/>
    </row>
    <row r="10" spans="1:4" x14ac:dyDescent="0.25">
      <c r="A10" s="2">
        <v>37529</v>
      </c>
      <c r="B10" s="3">
        <v>71066.773000000001</v>
      </c>
      <c r="C10" s="11">
        <f t="shared" si="0"/>
        <v>103.8815532802671</v>
      </c>
      <c r="D10" s="11"/>
    </row>
    <row r="11" spans="1:4" x14ac:dyDescent="0.25">
      <c r="A11" s="2">
        <v>37560</v>
      </c>
      <c r="B11" s="3">
        <v>75654.451000000001</v>
      </c>
      <c r="C11" s="11">
        <f t="shared" si="0"/>
        <v>106.45544718908231</v>
      </c>
      <c r="D11" s="11"/>
    </row>
    <row r="12" spans="1:4" x14ac:dyDescent="0.25">
      <c r="A12" s="2">
        <v>37590</v>
      </c>
      <c r="B12" s="3">
        <v>77474.20199999999</v>
      </c>
      <c r="C12" s="11">
        <f t="shared" si="0"/>
        <v>102.40534558898588</v>
      </c>
      <c r="D12" s="11"/>
    </row>
    <row r="13" spans="1:4" x14ac:dyDescent="0.25">
      <c r="A13" s="2">
        <v>37621</v>
      </c>
      <c r="B13" s="3">
        <v>80439.584000000003</v>
      </c>
      <c r="C13" s="11">
        <f t="shared" si="0"/>
        <v>103.82757346761701</v>
      </c>
      <c r="D13" s="11"/>
    </row>
    <row r="14" spans="1:4" x14ac:dyDescent="0.25">
      <c r="A14" s="2">
        <v>37652</v>
      </c>
      <c r="B14" s="3">
        <v>84014.622999999992</v>
      </c>
      <c r="C14" s="11">
        <f t="shared" si="0"/>
        <v>104.44437778295818</v>
      </c>
      <c r="D14" s="11">
        <f>IFERROR(B14/B2*100,"")</f>
        <v>146.73987304319758</v>
      </c>
    </row>
    <row r="15" spans="1:4" x14ac:dyDescent="0.25">
      <c r="A15" s="2">
        <v>37680</v>
      </c>
      <c r="B15" s="3">
        <v>88944.744000000006</v>
      </c>
      <c r="C15" s="11">
        <f t="shared" si="0"/>
        <v>105.86817011605231</v>
      </c>
      <c r="D15" s="11">
        <f t="shared" ref="D15:D78" si="1">IFERROR(B15/B3*100,"")</f>
        <v>153.80874751920106</v>
      </c>
    </row>
    <row r="16" spans="1:4" x14ac:dyDescent="0.25">
      <c r="A16" s="2">
        <v>37711</v>
      </c>
      <c r="B16" s="3">
        <v>93932.64</v>
      </c>
      <c r="C16" s="11">
        <f t="shared" si="0"/>
        <v>105.60785918952106</v>
      </c>
      <c r="D16" s="11">
        <f t="shared" si="1"/>
        <v>157.26934644895692</v>
      </c>
    </row>
    <row r="17" spans="1:4" x14ac:dyDescent="0.25">
      <c r="A17" s="2">
        <v>37741</v>
      </c>
      <c r="B17" s="3">
        <v>95332.630999999994</v>
      </c>
      <c r="C17" s="11">
        <f t="shared" si="0"/>
        <v>101.49042015640144</v>
      </c>
      <c r="D17" s="11">
        <f t="shared" si="1"/>
        <v>158.35440445229867</v>
      </c>
    </row>
    <row r="18" spans="1:4" x14ac:dyDescent="0.25">
      <c r="A18" s="2">
        <v>37772</v>
      </c>
      <c r="B18" s="3">
        <v>97327.956000000006</v>
      </c>
      <c r="C18" s="11">
        <f t="shared" si="0"/>
        <v>102.09301367125806</v>
      </c>
      <c r="D18" s="11">
        <f t="shared" si="1"/>
        <v>158.08754397323455</v>
      </c>
    </row>
    <row r="19" spans="1:4" x14ac:dyDescent="0.25">
      <c r="A19" s="2">
        <v>37802</v>
      </c>
      <c r="B19" s="3">
        <v>100010.68000000001</v>
      </c>
      <c r="C19" s="11">
        <f t="shared" si="0"/>
        <v>102.75637556798172</v>
      </c>
      <c r="D19" s="11">
        <f t="shared" si="1"/>
        <v>159.03346980605286</v>
      </c>
    </row>
    <row r="20" spans="1:4" x14ac:dyDescent="0.25">
      <c r="A20" s="2">
        <v>37833</v>
      </c>
      <c r="B20" s="3">
        <v>101942.845</v>
      </c>
      <c r="C20" s="11">
        <f t="shared" si="0"/>
        <v>101.93195866681437</v>
      </c>
      <c r="D20" s="11">
        <f t="shared" si="1"/>
        <v>156.70411740337119</v>
      </c>
    </row>
    <row r="21" spans="1:4" x14ac:dyDescent="0.25">
      <c r="A21" s="2">
        <v>37864</v>
      </c>
      <c r="B21" s="3">
        <v>105048.03799999999</v>
      </c>
      <c r="C21" s="11">
        <f t="shared" si="0"/>
        <v>103.0460136756042</v>
      </c>
      <c r="D21" s="11">
        <f t="shared" si="1"/>
        <v>153.55352291688439</v>
      </c>
    </row>
    <row r="22" spans="1:4" x14ac:dyDescent="0.25">
      <c r="A22" s="2">
        <v>37894</v>
      </c>
      <c r="B22" s="3">
        <v>107539.46699999999</v>
      </c>
      <c r="C22" s="11">
        <f t="shared" si="0"/>
        <v>102.3717044577263</v>
      </c>
      <c r="D22" s="11">
        <f t="shared" si="1"/>
        <v>151.32172527377875</v>
      </c>
    </row>
    <row r="23" spans="1:4" x14ac:dyDescent="0.25">
      <c r="A23" s="2">
        <v>37925</v>
      </c>
      <c r="B23" s="3">
        <v>108035.576</v>
      </c>
      <c r="C23" s="11">
        <f t="shared" si="0"/>
        <v>100.46132737481395</v>
      </c>
      <c r="D23" s="11">
        <f t="shared" si="1"/>
        <v>142.80134819827057</v>
      </c>
    </row>
    <row r="24" spans="1:4" x14ac:dyDescent="0.25">
      <c r="A24" s="2">
        <v>37955</v>
      </c>
      <c r="B24" s="3">
        <v>109861.43</v>
      </c>
      <c r="C24" s="11">
        <f t="shared" si="0"/>
        <v>101.69004884094845</v>
      </c>
      <c r="D24" s="11">
        <f t="shared" si="1"/>
        <v>141.80388718298772</v>
      </c>
    </row>
    <row r="25" spans="1:4" x14ac:dyDescent="0.25">
      <c r="A25" s="2">
        <v>37986</v>
      </c>
      <c r="B25" s="3">
        <v>111243.16800000001</v>
      </c>
      <c r="C25" s="11">
        <f t="shared" si="0"/>
        <v>101.25770982591436</v>
      </c>
      <c r="D25" s="11">
        <f t="shared" si="1"/>
        <v>138.29406178928025</v>
      </c>
    </row>
    <row r="26" spans="1:4" x14ac:dyDescent="0.25">
      <c r="A26" s="2">
        <v>38017</v>
      </c>
      <c r="B26" s="3">
        <v>114256.44000000002</v>
      </c>
      <c r="C26" s="11">
        <f t="shared" si="0"/>
        <v>102.70872544730119</v>
      </c>
      <c r="D26" s="11">
        <f t="shared" si="1"/>
        <v>135.99589680953522</v>
      </c>
    </row>
    <row r="27" spans="1:4" x14ac:dyDescent="0.25">
      <c r="A27" s="2">
        <v>38046</v>
      </c>
      <c r="B27" s="3">
        <v>117046.19</v>
      </c>
      <c r="C27" s="11">
        <f t="shared" si="0"/>
        <v>102.44165668035865</v>
      </c>
      <c r="D27" s="11">
        <f t="shared" si="1"/>
        <v>131.59427385613702</v>
      </c>
    </row>
    <row r="28" spans="1:4" x14ac:dyDescent="0.25">
      <c r="A28" s="2">
        <v>38077</v>
      </c>
      <c r="B28" s="3">
        <v>118544.63399999999</v>
      </c>
      <c r="C28" s="11">
        <f t="shared" si="0"/>
        <v>101.28021595576924</v>
      </c>
      <c r="D28" s="11">
        <f t="shared" si="1"/>
        <v>126.20174840183347</v>
      </c>
    </row>
    <row r="29" spans="1:4" x14ac:dyDescent="0.25">
      <c r="A29" s="2">
        <v>38107</v>
      </c>
      <c r="B29" s="3">
        <v>120393.132</v>
      </c>
      <c r="C29" s="11">
        <f t="shared" si="0"/>
        <v>101.55932659086029</v>
      </c>
      <c r="D29" s="11">
        <f t="shared" si="1"/>
        <v>126.28743247419658</v>
      </c>
    </row>
    <row r="30" spans="1:4" x14ac:dyDescent="0.25">
      <c r="A30" s="2">
        <v>38138</v>
      </c>
      <c r="B30" s="3">
        <v>122966.84999999999</v>
      </c>
      <c r="C30" s="11">
        <f t="shared" si="0"/>
        <v>102.13776147961661</v>
      </c>
      <c r="D30" s="11">
        <f t="shared" si="1"/>
        <v>126.3427848007</v>
      </c>
    </row>
    <row r="31" spans="1:4" x14ac:dyDescent="0.25">
      <c r="A31" s="2">
        <v>38168</v>
      </c>
      <c r="B31" s="3">
        <v>124009.2</v>
      </c>
      <c r="C31" s="11">
        <f t="shared" si="0"/>
        <v>100.84766748111382</v>
      </c>
      <c r="D31" s="11">
        <f t="shared" si="1"/>
        <v>123.99595723176763</v>
      </c>
    </row>
    <row r="32" spans="1:4" x14ac:dyDescent="0.25">
      <c r="A32" s="2">
        <v>38199</v>
      </c>
      <c r="B32" s="4">
        <v>121800</v>
      </c>
      <c r="C32" s="11">
        <f t="shared" si="0"/>
        <v>98.218519271150853</v>
      </c>
      <c r="D32" s="11">
        <f t="shared" si="1"/>
        <v>119.47871378319881</v>
      </c>
    </row>
    <row r="33" spans="1:4" x14ac:dyDescent="0.25">
      <c r="A33" s="2">
        <v>38230</v>
      </c>
      <c r="B33" s="4">
        <v>122000</v>
      </c>
      <c r="C33" s="11">
        <f t="shared" si="0"/>
        <v>100.16420361247948</v>
      </c>
      <c r="D33" s="11">
        <f t="shared" si="1"/>
        <v>116.13734280310881</v>
      </c>
    </row>
    <row r="34" spans="1:4" x14ac:dyDescent="0.25">
      <c r="A34" s="2">
        <v>38260</v>
      </c>
      <c r="B34" s="4">
        <v>123600</v>
      </c>
      <c r="C34" s="11">
        <f t="shared" si="0"/>
        <v>101.31147540983608</v>
      </c>
      <c r="D34" s="11">
        <f t="shared" si="1"/>
        <v>114.93454770423961</v>
      </c>
    </row>
    <row r="35" spans="1:4" x14ac:dyDescent="0.25">
      <c r="A35" s="2">
        <v>38291</v>
      </c>
      <c r="B35" s="4">
        <v>125500</v>
      </c>
      <c r="C35" s="11">
        <f t="shared" si="0"/>
        <v>101.53721682847896</v>
      </c>
      <c r="D35" s="11">
        <f t="shared" si="1"/>
        <v>116.16543794795892</v>
      </c>
    </row>
    <row r="36" spans="1:4" x14ac:dyDescent="0.25">
      <c r="A36" s="2">
        <v>38321</v>
      </c>
      <c r="B36" s="4">
        <v>127700</v>
      </c>
      <c r="C36" s="11">
        <f t="shared" si="0"/>
        <v>101.75298804780877</v>
      </c>
      <c r="D36" s="11">
        <f t="shared" si="1"/>
        <v>116.23733643372383</v>
      </c>
    </row>
    <row r="37" spans="1:4" x14ac:dyDescent="0.25">
      <c r="A37" s="2">
        <v>38352</v>
      </c>
      <c r="B37" s="4">
        <v>126200</v>
      </c>
      <c r="C37" s="11">
        <f t="shared" si="0"/>
        <v>98.825371965544235</v>
      </c>
      <c r="D37" s="11">
        <f t="shared" si="1"/>
        <v>113.44516905523582</v>
      </c>
    </row>
    <row r="38" spans="1:4" x14ac:dyDescent="0.25">
      <c r="A38" s="2">
        <v>38383</v>
      </c>
      <c r="B38" s="4">
        <v>131000</v>
      </c>
      <c r="C38" s="11">
        <f t="shared" si="0"/>
        <v>103.80348652931855</v>
      </c>
      <c r="D38" s="11">
        <f t="shared" si="1"/>
        <v>114.65436871654673</v>
      </c>
    </row>
    <row r="39" spans="1:4" x14ac:dyDescent="0.25">
      <c r="A39" s="2">
        <v>38411</v>
      </c>
      <c r="B39" s="4">
        <v>128600</v>
      </c>
      <c r="C39" s="11">
        <f t="shared" si="0"/>
        <v>98.167938931297698</v>
      </c>
      <c r="D39" s="11">
        <f t="shared" si="1"/>
        <v>109.87115428532958</v>
      </c>
    </row>
    <row r="40" spans="1:4" x14ac:dyDescent="0.25">
      <c r="A40" s="2">
        <v>38442</v>
      </c>
      <c r="B40" s="4">
        <v>135500</v>
      </c>
      <c r="C40" s="11">
        <f t="shared" si="0"/>
        <v>105.36547433903579</v>
      </c>
      <c r="D40" s="11">
        <f t="shared" si="1"/>
        <v>114.30293841895873</v>
      </c>
    </row>
    <row r="41" spans="1:4" x14ac:dyDescent="0.25">
      <c r="A41" s="2">
        <v>38472</v>
      </c>
      <c r="B41" s="4">
        <v>140300</v>
      </c>
      <c r="C41" s="11">
        <f t="shared" si="0"/>
        <v>103.54243542435424</v>
      </c>
      <c r="D41" s="11">
        <f t="shared" si="1"/>
        <v>116.53488672426928</v>
      </c>
    </row>
    <row r="42" spans="1:4" x14ac:dyDescent="0.25">
      <c r="A42" s="2">
        <v>38503</v>
      </c>
      <c r="B42" s="4">
        <v>145600</v>
      </c>
      <c r="C42" s="11">
        <f t="shared" si="0"/>
        <v>103.77761938702781</v>
      </c>
      <c r="D42" s="11">
        <f t="shared" si="1"/>
        <v>118.40589557266858</v>
      </c>
    </row>
    <row r="43" spans="1:4" x14ac:dyDescent="0.25">
      <c r="A43" s="2">
        <v>38533</v>
      </c>
      <c r="B43" s="4">
        <v>151000</v>
      </c>
      <c r="C43" s="11">
        <f t="shared" si="0"/>
        <v>103.70879120879121</v>
      </c>
      <c r="D43" s="11">
        <f t="shared" si="1"/>
        <v>121.76515935914432</v>
      </c>
    </row>
    <row r="44" spans="1:4" x14ac:dyDescent="0.25">
      <c r="A44" s="2">
        <v>38564</v>
      </c>
      <c r="B44" s="4">
        <v>154100</v>
      </c>
      <c r="C44" s="11">
        <f t="shared" si="0"/>
        <v>102.05298013245032</v>
      </c>
      <c r="D44" s="11">
        <f t="shared" si="1"/>
        <v>126.51888341543514</v>
      </c>
    </row>
    <row r="45" spans="1:4" x14ac:dyDescent="0.25">
      <c r="A45" s="2">
        <v>38595</v>
      </c>
      <c r="B45" s="4">
        <v>163200</v>
      </c>
      <c r="C45" s="11">
        <f t="shared" si="0"/>
        <v>105.90525632706036</v>
      </c>
      <c r="D45" s="11">
        <f t="shared" si="1"/>
        <v>133.7704918032787</v>
      </c>
    </row>
    <row r="46" spans="1:4" x14ac:dyDescent="0.25">
      <c r="A46" s="2">
        <v>38625</v>
      </c>
      <c r="B46" s="4">
        <v>163600</v>
      </c>
      <c r="C46" s="11">
        <f t="shared" si="0"/>
        <v>100.24509803921569</v>
      </c>
      <c r="D46" s="11">
        <f t="shared" si="1"/>
        <v>132.36245954692555</v>
      </c>
    </row>
    <row r="47" spans="1:4" x14ac:dyDescent="0.25">
      <c r="A47" s="2">
        <v>38656</v>
      </c>
      <c r="B47" s="4">
        <v>166100</v>
      </c>
      <c r="C47" s="11">
        <f t="shared" si="0"/>
        <v>101.5281173594132</v>
      </c>
      <c r="D47" s="11">
        <f t="shared" si="1"/>
        <v>132.35059760956176</v>
      </c>
    </row>
    <row r="48" spans="1:4" x14ac:dyDescent="0.25">
      <c r="A48" s="2">
        <v>38686</v>
      </c>
      <c r="B48" s="4">
        <v>173800</v>
      </c>
      <c r="C48" s="11">
        <f t="shared" si="0"/>
        <v>104.63576158940397</v>
      </c>
      <c r="D48" s="11">
        <f t="shared" si="1"/>
        <v>136.10023492560691</v>
      </c>
    </row>
    <row r="49" spans="1:4" x14ac:dyDescent="0.25">
      <c r="A49" s="2">
        <v>38717</v>
      </c>
      <c r="B49" s="4">
        <v>173700</v>
      </c>
      <c r="C49" s="11">
        <f t="shared" si="0"/>
        <v>99.942462600690448</v>
      </c>
      <c r="D49" s="11">
        <f t="shared" si="1"/>
        <v>137.63866877971475</v>
      </c>
    </row>
    <row r="50" spans="1:4" x14ac:dyDescent="0.25">
      <c r="A50" s="2">
        <v>38748</v>
      </c>
      <c r="B50" s="4">
        <v>180000</v>
      </c>
      <c r="C50" s="11">
        <f t="shared" si="0"/>
        <v>103.62694300518133</v>
      </c>
      <c r="D50" s="11">
        <f t="shared" si="1"/>
        <v>137.40458015267177</v>
      </c>
    </row>
    <row r="51" spans="1:4" x14ac:dyDescent="0.25">
      <c r="A51" s="2">
        <v>38776</v>
      </c>
      <c r="B51" s="4">
        <v>181900</v>
      </c>
      <c r="C51" s="11">
        <f t="shared" si="0"/>
        <v>101.05555555555557</v>
      </c>
      <c r="D51" s="11">
        <f t="shared" si="1"/>
        <v>141.44634525660965</v>
      </c>
    </row>
    <row r="52" spans="1:4" x14ac:dyDescent="0.25">
      <c r="A52" s="2">
        <v>38807</v>
      </c>
      <c r="B52" s="4">
        <v>184700</v>
      </c>
      <c r="C52" s="11">
        <f t="shared" si="0"/>
        <v>101.53930731170972</v>
      </c>
      <c r="D52" s="11">
        <f t="shared" si="1"/>
        <v>136.30996309963101</v>
      </c>
    </row>
    <row r="53" spans="1:4" x14ac:dyDescent="0.25">
      <c r="A53" s="2">
        <v>38837</v>
      </c>
      <c r="B53" s="4">
        <v>188900</v>
      </c>
      <c r="C53" s="11">
        <f t="shared" si="0"/>
        <v>102.2739577693557</v>
      </c>
      <c r="D53" s="11">
        <f t="shared" si="1"/>
        <v>134.64005702066999</v>
      </c>
    </row>
    <row r="54" spans="1:4" x14ac:dyDescent="0.25">
      <c r="A54" s="2">
        <v>38868</v>
      </c>
      <c r="B54" s="4">
        <v>188800</v>
      </c>
      <c r="C54" s="11">
        <f t="shared" si="0"/>
        <v>99.947061937533093</v>
      </c>
      <c r="D54" s="11">
        <f t="shared" si="1"/>
        <v>129.67032967032966</v>
      </c>
    </row>
    <row r="55" spans="1:4" x14ac:dyDescent="0.25">
      <c r="A55" s="2">
        <v>38898</v>
      </c>
      <c r="B55" s="4">
        <v>189100</v>
      </c>
      <c r="C55" s="11">
        <f t="shared" si="0"/>
        <v>100.15889830508475</v>
      </c>
      <c r="D55" s="11">
        <f t="shared" si="1"/>
        <v>125.23178807947019</v>
      </c>
    </row>
    <row r="56" spans="1:4" x14ac:dyDescent="0.25">
      <c r="A56" s="2">
        <v>38929</v>
      </c>
      <c r="B56" s="4">
        <v>191100</v>
      </c>
      <c r="C56" s="11">
        <f t="shared" si="0"/>
        <v>101.05764145954521</v>
      </c>
      <c r="D56" s="11">
        <f t="shared" si="1"/>
        <v>124.01038286826736</v>
      </c>
    </row>
    <row r="57" spans="1:4" x14ac:dyDescent="0.25">
      <c r="A57" s="2">
        <v>38960</v>
      </c>
      <c r="B57" s="4">
        <v>200300</v>
      </c>
      <c r="C57" s="11">
        <f t="shared" si="0"/>
        <v>104.81423338566196</v>
      </c>
      <c r="D57" s="11">
        <f t="shared" si="1"/>
        <v>122.7328431372549</v>
      </c>
    </row>
    <row r="58" spans="1:4" x14ac:dyDescent="0.25">
      <c r="A58" s="2">
        <v>38990</v>
      </c>
      <c r="B58" s="4">
        <v>207000</v>
      </c>
      <c r="C58" s="11">
        <f t="shared" si="0"/>
        <v>103.3449825262107</v>
      </c>
      <c r="D58" s="11">
        <f t="shared" si="1"/>
        <v>126.5281173594132</v>
      </c>
    </row>
    <row r="59" spans="1:4" x14ac:dyDescent="0.25">
      <c r="A59" s="2">
        <v>39021</v>
      </c>
      <c r="B59" s="4">
        <v>208900</v>
      </c>
      <c r="C59" s="11">
        <f t="shared" si="0"/>
        <v>100.91787439613526</v>
      </c>
      <c r="D59" s="11">
        <f t="shared" si="1"/>
        <v>125.76760987357014</v>
      </c>
    </row>
    <row r="60" spans="1:4" x14ac:dyDescent="0.25">
      <c r="A60" s="2">
        <v>39051</v>
      </c>
      <c r="B60" s="4">
        <v>218600</v>
      </c>
      <c r="C60" s="11">
        <f t="shared" si="0"/>
        <v>104.64337003350886</v>
      </c>
      <c r="D60" s="11">
        <f t="shared" si="1"/>
        <v>125.77675489067894</v>
      </c>
    </row>
    <row r="61" spans="1:4" x14ac:dyDescent="0.25">
      <c r="A61" s="2">
        <v>39082</v>
      </c>
      <c r="B61" s="4">
        <v>221900</v>
      </c>
      <c r="C61" s="11">
        <f t="shared" si="0"/>
        <v>101.50960658737421</v>
      </c>
      <c r="D61" s="11">
        <f t="shared" si="1"/>
        <v>127.7489925158319</v>
      </c>
    </row>
    <row r="62" spans="1:4" x14ac:dyDescent="0.25">
      <c r="A62" s="2">
        <v>39113</v>
      </c>
      <c r="B62" s="4">
        <v>227100</v>
      </c>
      <c r="C62" s="11">
        <f t="shared" si="0"/>
        <v>102.34339792699414</v>
      </c>
      <c r="D62" s="11">
        <f t="shared" si="1"/>
        <v>126.16666666666667</v>
      </c>
    </row>
    <row r="63" spans="1:4" x14ac:dyDescent="0.25">
      <c r="A63" s="2">
        <v>39141</v>
      </c>
      <c r="B63" s="4">
        <v>230000</v>
      </c>
      <c r="C63" s="11">
        <f t="shared" si="0"/>
        <v>101.27697049757816</v>
      </c>
      <c r="D63" s="11">
        <f t="shared" si="1"/>
        <v>126.44310060472787</v>
      </c>
    </row>
    <row r="64" spans="1:4" x14ac:dyDescent="0.25">
      <c r="A64" s="2">
        <v>39172</v>
      </c>
      <c r="B64" s="4">
        <v>236300</v>
      </c>
      <c r="C64" s="11">
        <f t="shared" si="0"/>
        <v>102.7391304347826</v>
      </c>
      <c r="D64" s="11">
        <f t="shared" si="1"/>
        <v>127.93719545208447</v>
      </c>
    </row>
    <row r="65" spans="1:4" x14ac:dyDescent="0.25">
      <c r="A65" s="2">
        <v>39202</v>
      </c>
      <c r="B65" s="4">
        <v>243700</v>
      </c>
      <c r="C65" s="11">
        <f t="shared" si="0"/>
        <v>103.13161235717307</v>
      </c>
      <c r="D65" s="11">
        <f t="shared" si="1"/>
        <v>129.0100582318687</v>
      </c>
    </row>
    <row r="66" spans="1:4" x14ac:dyDescent="0.25">
      <c r="A66" s="2">
        <v>39233</v>
      </c>
      <c r="B66" s="4">
        <v>252100</v>
      </c>
      <c r="C66" s="11">
        <f t="shared" si="0"/>
        <v>103.44686089454247</v>
      </c>
      <c r="D66" s="11">
        <f t="shared" si="1"/>
        <v>133.52754237288136</v>
      </c>
    </row>
    <row r="67" spans="1:4" x14ac:dyDescent="0.25">
      <c r="A67" s="2">
        <v>39263</v>
      </c>
      <c r="B67" s="4">
        <v>258800</v>
      </c>
      <c r="C67" s="11">
        <f t="shared" si="0"/>
        <v>102.65767552558509</v>
      </c>
      <c r="D67" s="11">
        <f t="shared" si="1"/>
        <v>136.85880486515072</v>
      </c>
    </row>
    <row r="68" spans="1:4" x14ac:dyDescent="0.25">
      <c r="A68" s="2">
        <v>39294</v>
      </c>
      <c r="B68" s="4">
        <v>262600</v>
      </c>
      <c r="C68" s="11">
        <f t="shared" ref="C68:C131" si="2">IFERROR(B68/B67*100,"")</f>
        <v>101.46831530139104</v>
      </c>
      <c r="D68" s="11">
        <f t="shared" si="1"/>
        <v>137.41496598639455</v>
      </c>
    </row>
    <row r="69" spans="1:4" x14ac:dyDescent="0.25">
      <c r="A69" s="2">
        <v>39325</v>
      </c>
      <c r="B69" s="4">
        <v>266400</v>
      </c>
      <c r="C69" s="11">
        <f t="shared" si="2"/>
        <v>101.44706778370146</v>
      </c>
      <c r="D69" s="11">
        <f t="shared" si="1"/>
        <v>133.00049925112333</v>
      </c>
    </row>
    <row r="70" spans="1:4" x14ac:dyDescent="0.25">
      <c r="A70" s="2">
        <v>39355</v>
      </c>
      <c r="B70" s="4">
        <v>270300</v>
      </c>
      <c r="C70" s="11">
        <f t="shared" si="2"/>
        <v>101.46396396396395</v>
      </c>
      <c r="D70" s="11">
        <f t="shared" si="1"/>
        <v>130.57971014492753</v>
      </c>
    </row>
    <row r="71" spans="1:4" x14ac:dyDescent="0.25">
      <c r="A71" s="2">
        <v>39386</v>
      </c>
      <c r="B71" s="4">
        <v>275300</v>
      </c>
      <c r="C71" s="11">
        <f t="shared" si="2"/>
        <v>101.84979652238253</v>
      </c>
      <c r="D71" s="11">
        <f t="shared" si="1"/>
        <v>131.78554332216373</v>
      </c>
    </row>
    <row r="72" spans="1:4" x14ac:dyDescent="0.25">
      <c r="A72" s="2">
        <v>39416</v>
      </c>
      <c r="B72" s="4">
        <v>279900</v>
      </c>
      <c r="C72" s="11">
        <f t="shared" si="2"/>
        <v>101.67090446785325</v>
      </c>
      <c r="D72" s="11">
        <f t="shared" si="1"/>
        <v>128.04208600182983</v>
      </c>
    </row>
    <row r="73" spans="1:4" x14ac:dyDescent="0.25">
      <c r="A73" s="2">
        <v>39447</v>
      </c>
      <c r="B73" s="4">
        <v>282600</v>
      </c>
      <c r="C73" s="11">
        <f t="shared" si="2"/>
        <v>100.96463022508037</v>
      </c>
      <c r="D73" s="11">
        <f t="shared" si="1"/>
        <v>127.3546642631816</v>
      </c>
    </row>
    <row r="74" spans="1:4" x14ac:dyDescent="0.25">
      <c r="A74" s="2">
        <v>39478</v>
      </c>
      <c r="B74" s="4">
        <v>284600</v>
      </c>
      <c r="C74" s="11">
        <f t="shared" si="2"/>
        <v>100.70771408351027</v>
      </c>
      <c r="D74" s="11">
        <f t="shared" si="1"/>
        <v>125.31924262439453</v>
      </c>
    </row>
    <row r="75" spans="1:4" x14ac:dyDescent="0.25">
      <c r="A75" s="2">
        <v>39507</v>
      </c>
      <c r="B75" s="4">
        <v>287400</v>
      </c>
      <c r="C75" s="11">
        <f t="shared" si="2"/>
        <v>100.98383696416022</v>
      </c>
      <c r="D75" s="11">
        <f t="shared" si="1"/>
        <v>124.95652173913044</v>
      </c>
    </row>
    <row r="76" spans="1:4" x14ac:dyDescent="0.25">
      <c r="A76" s="2">
        <v>39538</v>
      </c>
      <c r="B76" s="4">
        <v>286700</v>
      </c>
      <c r="C76" s="11">
        <f t="shared" si="2"/>
        <v>99.756437021572722</v>
      </c>
      <c r="D76" s="11">
        <f t="shared" si="1"/>
        <v>121.32881929750316</v>
      </c>
    </row>
    <row r="77" spans="1:4" x14ac:dyDescent="0.25">
      <c r="A77" s="2">
        <v>39568</v>
      </c>
      <c r="B77" s="4">
        <v>294800</v>
      </c>
      <c r="C77" s="11">
        <f t="shared" si="2"/>
        <v>102.82525287757238</v>
      </c>
      <c r="D77" s="11">
        <f t="shared" si="1"/>
        <v>120.96840377513335</v>
      </c>
    </row>
    <row r="78" spans="1:4" x14ac:dyDescent="0.25">
      <c r="A78" s="2">
        <v>39599</v>
      </c>
      <c r="B78" s="4">
        <v>298800</v>
      </c>
      <c r="C78" s="11">
        <f t="shared" si="2"/>
        <v>101.35685210312076</v>
      </c>
      <c r="D78" s="11">
        <f t="shared" si="1"/>
        <v>118.52439508131694</v>
      </c>
    </row>
    <row r="79" spans="1:4" x14ac:dyDescent="0.25">
      <c r="A79" s="2">
        <v>39629</v>
      </c>
      <c r="B79" s="4">
        <v>303300</v>
      </c>
      <c r="C79" s="11">
        <f t="shared" si="2"/>
        <v>101.50602409638554</v>
      </c>
      <c r="D79" s="11">
        <f t="shared" ref="D79:D142" si="3">IFERROR(B79/B67*100,"")</f>
        <v>117.19474497681608</v>
      </c>
    </row>
    <row r="80" spans="1:4" x14ac:dyDescent="0.25">
      <c r="A80" s="2">
        <v>39660</v>
      </c>
      <c r="B80" s="4">
        <v>306200</v>
      </c>
      <c r="C80" s="11">
        <f t="shared" si="2"/>
        <v>100.95614902736565</v>
      </c>
      <c r="D80" s="11">
        <f t="shared" si="3"/>
        <v>116.60319878141661</v>
      </c>
    </row>
    <row r="81" spans="1:4" x14ac:dyDescent="0.25">
      <c r="A81" s="2">
        <v>39691</v>
      </c>
      <c r="B81" s="4">
        <v>300800</v>
      </c>
      <c r="C81" s="11">
        <f t="shared" si="2"/>
        <v>98.236446766819071</v>
      </c>
      <c r="D81" s="11">
        <f t="shared" si="3"/>
        <v>112.91291291291292</v>
      </c>
    </row>
    <row r="82" spans="1:4" x14ac:dyDescent="0.25">
      <c r="A82" s="2">
        <v>39721</v>
      </c>
      <c r="B82" s="4">
        <v>301000</v>
      </c>
      <c r="C82" s="11">
        <f t="shared" si="2"/>
        <v>100.06648936170212</v>
      </c>
      <c r="D82" s="11">
        <f t="shared" si="3"/>
        <v>111.35775064742879</v>
      </c>
    </row>
    <row r="83" spans="1:4" x14ac:dyDescent="0.25">
      <c r="A83" s="2">
        <v>39752</v>
      </c>
      <c r="B83" s="4">
        <v>300000</v>
      </c>
      <c r="C83" s="11">
        <f t="shared" si="2"/>
        <v>99.667774086378742</v>
      </c>
      <c r="D83" s="11">
        <f t="shared" si="3"/>
        <v>108.97203051216854</v>
      </c>
    </row>
    <row r="84" spans="1:4" x14ac:dyDescent="0.25">
      <c r="A84" s="2">
        <v>39782</v>
      </c>
      <c r="B84" s="4">
        <v>299400</v>
      </c>
      <c r="C84" s="11">
        <f t="shared" si="2"/>
        <v>99.8</v>
      </c>
      <c r="D84" s="11">
        <f t="shared" si="3"/>
        <v>106.96677384780277</v>
      </c>
    </row>
    <row r="85" spans="1:4" x14ac:dyDescent="0.25">
      <c r="A85" s="2">
        <v>39813</v>
      </c>
      <c r="B85" s="4">
        <v>292000</v>
      </c>
      <c r="C85" s="11">
        <f t="shared" si="2"/>
        <v>97.528390113560462</v>
      </c>
      <c r="D85" s="11">
        <f t="shared" si="3"/>
        <v>103.32625619249822</v>
      </c>
    </row>
    <row r="86" spans="1:4" x14ac:dyDescent="0.25">
      <c r="A86" s="2">
        <v>39844</v>
      </c>
      <c r="B86" s="4">
        <v>283000</v>
      </c>
      <c r="C86" s="11">
        <f t="shared" si="2"/>
        <v>96.917808219178085</v>
      </c>
      <c r="D86" s="11">
        <f t="shared" si="3"/>
        <v>99.437807449051292</v>
      </c>
    </row>
    <row r="87" spans="1:4" x14ac:dyDescent="0.25">
      <c r="A87" s="2">
        <v>39872</v>
      </c>
      <c r="B87" s="4">
        <v>269000</v>
      </c>
      <c r="C87" s="11">
        <f t="shared" si="2"/>
        <v>95.053003533568898</v>
      </c>
      <c r="D87" s="11">
        <f t="shared" si="3"/>
        <v>93.59777313848295</v>
      </c>
    </row>
    <row r="88" spans="1:4" x14ac:dyDescent="0.25">
      <c r="A88" s="2">
        <v>39903</v>
      </c>
      <c r="B88" s="4">
        <v>289800</v>
      </c>
      <c r="C88" s="11">
        <f t="shared" si="2"/>
        <v>107.73234200743494</v>
      </c>
      <c r="D88" s="11">
        <f t="shared" si="3"/>
        <v>101.08126961981165</v>
      </c>
    </row>
    <row r="89" spans="1:4" x14ac:dyDescent="0.25">
      <c r="A89" s="2">
        <v>39933</v>
      </c>
      <c r="B89" s="4">
        <v>272600</v>
      </c>
      <c r="C89" s="11">
        <f t="shared" si="2"/>
        <v>94.064872325741888</v>
      </c>
      <c r="D89" s="11">
        <f t="shared" si="3"/>
        <v>92.469470827679771</v>
      </c>
    </row>
    <row r="90" spans="1:4" x14ac:dyDescent="0.25">
      <c r="A90" s="2">
        <v>39964</v>
      </c>
      <c r="B90" s="4">
        <v>259700</v>
      </c>
      <c r="C90" s="11">
        <f t="shared" si="2"/>
        <v>95.267791636096845</v>
      </c>
      <c r="D90" s="11">
        <f t="shared" si="3"/>
        <v>86.914323962516733</v>
      </c>
    </row>
    <row r="91" spans="1:4" x14ac:dyDescent="0.25">
      <c r="A91" s="2">
        <v>39994</v>
      </c>
      <c r="B91" s="4">
        <v>259300</v>
      </c>
      <c r="C91" s="11">
        <f t="shared" si="2"/>
        <v>99.845976126299576</v>
      </c>
      <c r="D91" s="11">
        <f t="shared" si="3"/>
        <v>85.492911308935049</v>
      </c>
    </row>
    <row r="92" spans="1:4" x14ac:dyDescent="0.25">
      <c r="A92" s="2">
        <v>40025</v>
      </c>
      <c r="B92" s="4">
        <v>255300</v>
      </c>
      <c r="C92" s="11">
        <f t="shared" si="2"/>
        <v>98.457385268029313</v>
      </c>
      <c r="D92" s="11">
        <f t="shared" si="3"/>
        <v>83.376877857609415</v>
      </c>
    </row>
    <row r="93" spans="1:4" x14ac:dyDescent="0.25">
      <c r="A93" s="2">
        <v>40056</v>
      </c>
      <c r="B93" s="4">
        <v>253100</v>
      </c>
      <c r="C93" s="11">
        <f t="shared" si="2"/>
        <v>99.138268703486105</v>
      </c>
      <c r="D93" s="11">
        <f t="shared" si="3"/>
        <v>84.142287234042556</v>
      </c>
    </row>
    <row r="94" spans="1:4" x14ac:dyDescent="0.25">
      <c r="A94" s="2">
        <v>40086</v>
      </c>
      <c r="B94" s="4">
        <v>255000</v>
      </c>
      <c r="C94" s="11">
        <f t="shared" si="2"/>
        <v>100.75069142631372</v>
      </c>
      <c r="D94" s="11">
        <f t="shared" si="3"/>
        <v>84.71760797342192</v>
      </c>
    </row>
    <row r="95" spans="1:4" x14ac:dyDescent="0.25">
      <c r="A95" s="2">
        <v>40117</v>
      </c>
      <c r="B95" s="4">
        <v>259900</v>
      </c>
      <c r="C95" s="11">
        <f t="shared" si="2"/>
        <v>101.92156862745098</v>
      </c>
      <c r="D95" s="11">
        <f t="shared" si="3"/>
        <v>86.633333333333326</v>
      </c>
    </row>
    <row r="96" spans="1:4" x14ac:dyDescent="0.25">
      <c r="A96" s="2">
        <v>40147</v>
      </c>
      <c r="B96" s="4">
        <v>264900</v>
      </c>
      <c r="C96" s="11">
        <f t="shared" si="2"/>
        <v>101.92381685263562</v>
      </c>
      <c r="D96" s="11">
        <f t="shared" si="3"/>
        <v>88.476953907815641</v>
      </c>
    </row>
    <row r="97" spans="1:4" x14ac:dyDescent="0.25">
      <c r="A97" s="2">
        <v>40178</v>
      </c>
      <c r="B97" s="4">
        <v>268500</v>
      </c>
      <c r="C97" s="11">
        <f t="shared" si="2"/>
        <v>101.3590033975085</v>
      </c>
      <c r="D97" s="11">
        <f t="shared" si="3"/>
        <v>91.952054794520549</v>
      </c>
    </row>
    <row r="98" spans="1:4" x14ac:dyDescent="0.25">
      <c r="A98" s="2">
        <v>40209</v>
      </c>
      <c r="B98" s="4">
        <v>269800</v>
      </c>
      <c r="C98" s="11">
        <f t="shared" si="2"/>
        <v>100.48417132216014</v>
      </c>
      <c r="D98" s="11">
        <f t="shared" si="3"/>
        <v>95.335689045936405</v>
      </c>
    </row>
    <row r="99" spans="1:4" x14ac:dyDescent="0.25">
      <c r="A99" s="2">
        <v>40237</v>
      </c>
      <c r="B99" s="4">
        <v>270300</v>
      </c>
      <c r="C99" s="11">
        <f t="shared" si="2"/>
        <v>100.18532246108229</v>
      </c>
      <c r="D99" s="11">
        <f t="shared" si="3"/>
        <v>100.48327137546468</v>
      </c>
    </row>
    <row r="100" spans="1:4" x14ac:dyDescent="0.25">
      <c r="A100" s="2">
        <v>40268</v>
      </c>
      <c r="B100" s="4">
        <v>274100</v>
      </c>
      <c r="C100" s="11">
        <f t="shared" si="2"/>
        <v>101.40584535701073</v>
      </c>
      <c r="D100" s="11">
        <f t="shared" si="3"/>
        <v>94.582470669427181</v>
      </c>
    </row>
    <row r="101" spans="1:4" x14ac:dyDescent="0.25">
      <c r="A101" s="2">
        <v>40298</v>
      </c>
      <c r="B101" s="4">
        <v>277300</v>
      </c>
      <c r="C101" s="11">
        <f t="shared" si="2"/>
        <v>101.16745713243343</v>
      </c>
      <c r="D101" s="11">
        <f t="shared" si="3"/>
        <v>101.72413793103448</v>
      </c>
    </row>
    <row r="102" spans="1:4" x14ac:dyDescent="0.25">
      <c r="A102" s="2">
        <v>40329</v>
      </c>
      <c r="B102" s="4">
        <v>279900</v>
      </c>
      <c r="C102" s="11">
        <f t="shared" si="2"/>
        <v>100.93761269383339</v>
      </c>
      <c r="D102" s="11">
        <f t="shared" si="3"/>
        <v>107.77820562187139</v>
      </c>
    </row>
    <row r="103" spans="1:4" x14ac:dyDescent="0.25">
      <c r="A103" s="2">
        <v>40359</v>
      </c>
      <c r="B103" s="4">
        <v>283000</v>
      </c>
      <c r="C103" s="11">
        <f t="shared" si="2"/>
        <v>101.10753840657378</v>
      </c>
      <c r="D103" s="11">
        <f t="shared" si="3"/>
        <v>109.13999228692634</v>
      </c>
    </row>
    <row r="104" spans="1:4" x14ac:dyDescent="0.25">
      <c r="A104" s="2">
        <v>40390</v>
      </c>
      <c r="B104" s="4">
        <v>278100</v>
      </c>
      <c r="C104" s="11">
        <f t="shared" si="2"/>
        <v>98.268551236749119</v>
      </c>
      <c r="D104" s="11">
        <f t="shared" si="3"/>
        <v>108.93066980023502</v>
      </c>
    </row>
    <row r="105" spans="1:4" x14ac:dyDescent="0.25">
      <c r="A105" s="2">
        <v>40421</v>
      </c>
      <c r="B105" s="4">
        <v>274200</v>
      </c>
      <c r="C105" s="11">
        <f t="shared" si="2"/>
        <v>98.597626752966562</v>
      </c>
      <c r="D105" s="11">
        <f t="shared" si="3"/>
        <v>108.33662583958909</v>
      </c>
    </row>
    <row r="106" spans="1:4" x14ac:dyDescent="0.25">
      <c r="A106" s="2">
        <v>40451</v>
      </c>
      <c r="B106" s="4">
        <v>270200</v>
      </c>
      <c r="C106" s="11">
        <f t="shared" si="2"/>
        <v>98.541210795040115</v>
      </c>
      <c r="D106" s="11">
        <f t="shared" si="3"/>
        <v>105.96078431372548</v>
      </c>
    </row>
    <row r="107" spans="1:4" x14ac:dyDescent="0.25">
      <c r="A107" s="2">
        <v>40482</v>
      </c>
      <c r="B107" s="4">
        <v>265900</v>
      </c>
      <c r="C107" s="11">
        <f t="shared" si="2"/>
        <v>98.408586232420419</v>
      </c>
      <c r="D107" s="11">
        <f t="shared" si="3"/>
        <v>102.30858022316276</v>
      </c>
    </row>
    <row r="108" spans="1:4" x14ac:dyDescent="0.25">
      <c r="A108" s="2">
        <v>40512</v>
      </c>
      <c r="B108" s="4">
        <v>264900</v>
      </c>
      <c r="C108" s="11">
        <f t="shared" si="2"/>
        <v>99.623918766453556</v>
      </c>
      <c r="D108" s="11">
        <f t="shared" si="3"/>
        <v>100</v>
      </c>
    </row>
    <row r="109" spans="1:4" x14ac:dyDescent="0.25">
      <c r="A109" s="2">
        <v>40543</v>
      </c>
      <c r="B109" s="4">
        <v>260700</v>
      </c>
      <c r="C109" s="11">
        <f t="shared" si="2"/>
        <v>98.414496036240095</v>
      </c>
      <c r="D109" s="11">
        <f t="shared" si="3"/>
        <v>97.094972067039109</v>
      </c>
    </row>
    <row r="110" spans="1:4" x14ac:dyDescent="0.25">
      <c r="A110" s="2">
        <v>40574</v>
      </c>
      <c r="B110" s="4">
        <v>258100</v>
      </c>
      <c r="C110" s="11">
        <f t="shared" si="2"/>
        <v>99.002685078634443</v>
      </c>
      <c r="D110" s="11">
        <f t="shared" si="3"/>
        <v>95.663454410674575</v>
      </c>
    </row>
    <row r="111" spans="1:4" x14ac:dyDescent="0.25">
      <c r="A111" s="2">
        <v>40602</v>
      </c>
      <c r="B111" s="4">
        <v>260000</v>
      </c>
      <c r="C111" s="11">
        <f t="shared" si="2"/>
        <v>100.73614877954282</v>
      </c>
      <c r="D111" s="11">
        <f t="shared" si="3"/>
        <v>96.189419163891969</v>
      </c>
    </row>
    <row r="112" spans="1:4" x14ac:dyDescent="0.25">
      <c r="A112" s="2">
        <v>40633</v>
      </c>
      <c r="B112" s="4">
        <v>257700</v>
      </c>
      <c r="C112" s="11">
        <f t="shared" si="2"/>
        <v>99.115384615384613</v>
      </c>
      <c r="D112" s="11">
        <f t="shared" si="3"/>
        <v>94.016782196278726</v>
      </c>
    </row>
    <row r="113" spans="1:4" x14ac:dyDescent="0.25">
      <c r="A113" s="2">
        <v>40663</v>
      </c>
      <c r="B113" s="4">
        <v>257100</v>
      </c>
      <c r="C113" s="11">
        <f t="shared" si="2"/>
        <v>99.767171129220017</v>
      </c>
      <c r="D113" s="11">
        <f t="shared" si="3"/>
        <v>92.715470609448246</v>
      </c>
    </row>
    <row r="114" spans="1:4" x14ac:dyDescent="0.25">
      <c r="A114" s="2">
        <v>40694</v>
      </c>
      <c r="B114" s="5">
        <v>257500</v>
      </c>
      <c r="C114" s="11">
        <f t="shared" si="2"/>
        <v>100.1555814858032</v>
      </c>
      <c r="D114" s="11">
        <f t="shared" si="3"/>
        <v>91.997141836370133</v>
      </c>
    </row>
    <row r="115" spans="1:4" x14ac:dyDescent="0.25">
      <c r="A115" s="2">
        <v>40724</v>
      </c>
      <c r="B115" s="6">
        <v>256800</v>
      </c>
      <c r="C115" s="11">
        <f t="shared" si="2"/>
        <v>99.728155339805824</v>
      </c>
      <c r="D115" s="11">
        <f t="shared" si="3"/>
        <v>90.74204946996467</v>
      </c>
    </row>
    <row r="116" spans="1:4" x14ac:dyDescent="0.25">
      <c r="A116" s="2">
        <v>40755</v>
      </c>
      <c r="B116" s="6">
        <v>257700</v>
      </c>
      <c r="C116" s="11">
        <f t="shared" si="2"/>
        <v>100.35046728971963</v>
      </c>
      <c r="D116" s="11">
        <f t="shared" si="3"/>
        <v>92.664509169363541</v>
      </c>
    </row>
    <row r="117" spans="1:4" x14ac:dyDescent="0.25">
      <c r="A117" s="2">
        <v>40786</v>
      </c>
      <c r="B117" s="6">
        <v>256600</v>
      </c>
      <c r="C117" s="11">
        <f t="shared" si="2"/>
        <v>99.573147070236715</v>
      </c>
      <c r="D117" s="11">
        <f t="shared" si="3"/>
        <v>93.58132749817652</v>
      </c>
    </row>
    <row r="118" spans="1:4" x14ac:dyDescent="0.25">
      <c r="A118" s="2">
        <v>40816</v>
      </c>
      <c r="B118" s="6">
        <v>256500</v>
      </c>
      <c r="C118" s="11">
        <f t="shared" si="2"/>
        <v>99.961028838659388</v>
      </c>
      <c r="D118" s="11">
        <f t="shared" si="3"/>
        <v>94.929681717246481</v>
      </c>
    </row>
    <row r="119" spans="1:4" x14ac:dyDescent="0.25">
      <c r="A119" s="2">
        <v>40847</v>
      </c>
      <c r="B119" s="6">
        <v>256700</v>
      </c>
      <c r="C119" s="11">
        <f t="shared" si="2"/>
        <v>100.07797270955166</v>
      </c>
      <c r="D119" s="11">
        <f t="shared" si="3"/>
        <v>96.540052651372704</v>
      </c>
    </row>
    <row r="120" spans="1:4" x14ac:dyDescent="0.25">
      <c r="A120" s="2">
        <v>40877</v>
      </c>
      <c r="B120" s="6">
        <v>258000</v>
      </c>
      <c r="C120" s="11">
        <f t="shared" si="2"/>
        <v>100.50642773665757</v>
      </c>
      <c r="D120" s="11">
        <f t="shared" si="3"/>
        <v>97.395243488108719</v>
      </c>
    </row>
    <row r="121" spans="1:4" x14ac:dyDescent="0.25">
      <c r="A121" s="2">
        <v>40908</v>
      </c>
      <c r="B121" s="6">
        <v>256400</v>
      </c>
      <c r="C121" s="11">
        <f t="shared" si="2"/>
        <v>99.379844961240309</v>
      </c>
      <c r="D121" s="11">
        <f t="shared" si="3"/>
        <v>98.3505945531262</v>
      </c>
    </row>
    <row r="122" spans="1:4" x14ac:dyDescent="0.25">
      <c r="A122" s="2">
        <v>40939</v>
      </c>
      <c r="B122" s="7">
        <v>251250</v>
      </c>
      <c r="C122" s="11">
        <f t="shared" si="2"/>
        <v>97.991419656786277</v>
      </c>
      <c r="D122" s="11">
        <f t="shared" si="3"/>
        <v>97.34598992638513</v>
      </c>
    </row>
    <row r="123" spans="1:4" x14ac:dyDescent="0.25">
      <c r="A123" s="2">
        <v>40968</v>
      </c>
      <c r="B123" s="7">
        <v>250100</v>
      </c>
      <c r="C123" s="11">
        <f t="shared" si="2"/>
        <v>99.542288557213936</v>
      </c>
      <c r="D123" s="11">
        <f t="shared" si="3"/>
        <v>96.192307692307693</v>
      </c>
    </row>
    <row r="124" spans="1:4" x14ac:dyDescent="0.25">
      <c r="A124" s="2">
        <v>40999</v>
      </c>
      <c r="B124" s="7">
        <v>249900</v>
      </c>
      <c r="C124" s="11">
        <f t="shared" si="2"/>
        <v>99.920031987205121</v>
      </c>
      <c r="D124" s="11">
        <f t="shared" si="3"/>
        <v>96.973224679860309</v>
      </c>
    </row>
    <row r="125" spans="1:4" x14ac:dyDescent="0.25">
      <c r="A125" s="2">
        <v>41029</v>
      </c>
      <c r="B125" s="7">
        <v>251900</v>
      </c>
      <c r="C125" s="11">
        <f t="shared" si="2"/>
        <v>100.80032012805123</v>
      </c>
      <c r="D125" s="11">
        <f t="shared" si="3"/>
        <v>97.97744068455853</v>
      </c>
    </row>
    <row r="126" spans="1:4" x14ac:dyDescent="0.25">
      <c r="A126" s="2">
        <v>41060</v>
      </c>
      <c r="B126" s="7">
        <v>255300</v>
      </c>
      <c r="C126" s="11">
        <f t="shared" si="2"/>
        <v>101.34974196109567</v>
      </c>
      <c r="D126" s="11">
        <f t="shared" si="3"/>
        <v>99.145631067961162</v>
      </c>
    </row>
    <row r="127" spans="1:4" x14ac:dyDescent="0.25">
      <c r="A127" s="2">
        <v>41090</v>
      </c>
      <c r="B127" s="7">
        <v>257400</v>
      </c>
      <c r="C127" s="11">
        <f t="shared" si="2"/>
        <v>100.82256169212691</v>
      </c>
      <c r="D127" s="11">
        <f t="shared" si="3"/>
        <v>100.23364485981307</v>
      </c>
    </row>
    <row r="128" spans="1:4" x14ac:dyDescent="0.25">
      <c r="A128" s="2">
        <v>41121</v>
      </c>
      <c r="B128" s="7">
        <v>258400</v>
      </c>
      <c r="C128" s="11">
        <f t="shared" si="2"/>
        <v>100.38850038850038</v>
      </c>
      <c r="D128" s="11">
        <f t="shared" si="3"/>
        <v>100.27163368257663</v>
      </c>
    </row>
    <row r="129" spans="1:4" x14ac:dyDescent="0.25">
      <c r="A129" s="2">
        <v>41152</v>
      </c>
      <c r="B129" s="7">
        <v>260000</v>
      </c>
      <c r="C129" s="11">
        <f t="shared" si="2"/>
        <v>100.61919504643964</v>
      </c>
      <c r="D129" s="11">
        <f t="shared" si="3"/>
        <v>101.32501948558068</v>
      </c>
    </row>
    <row r="130" spans="1:4" x14ac:dyDescent="0.25">
      <c r="A130" s="2">
        <v>41182</v>
      </c>
      <c r="B130" s="7">
        <v>261600</v>
      </c>
      <c r="C130" s="11">
        <f t="shared" si="2"/>
        <v>100.61538461538461</v>
      </c>
      <c r="D130" s="11">
        <f t="shared" si="3"/>
        <v>101.98830409356725</v>
      </c>
    </row>
    <row r="131" spans="1:4" x14ac:dyDescent="0.25">
      <c r="A131" s="2">
        <v>41213</v>
      </c>
      <c r="B131" s="7">
        <v>263000</v>
      </c>
      <c r="C131" s="11">
        <f t="shared" si="2"/>
        <v>100.53516819571865</v>
      </c>
      <c r="D131" s="11">
        <f t="shared" si="3"/>
        <v>102.45422672380211</v>
      </c>
    </row>
    <row r="132" spans="1:4" x14ac:dyDescent="0.25">
      <c r="A132" s="2">
        <v>41243</v>
      </c>
      <c r="B132" s="7">
        <v>264200</v>
      </c>
      <c r="C132" s="11">
        <f t="shared" ref="C132:C195" si="4">IFERROR(B132/B131*100,"")</f>
        <v>100.45627376425857</v>
      </c>
      <c r="D132" s="11">
        <f t="shared" si="3"/>
        <v>102.40310077519379</v>
      </c>
    </row>
    <row r="133" spans="1:4" x14ac:dyDescent="0.25">
      <c r="A133" s="2">
        <v>41274</v>
      </c>
      <c r="B133" s="7">
        <v>265300</v>
      </c>
      <c r="C133" s="11">
        <f t="shared" si="4"/>
        <v>100.41635124905375</v>
      </c>
      <c r="D133" s="11">
        <f t="shared" si="3"/>
        <v>103.47113884555381</v>
      </c>
    </row>
    <row r="134" spans="1:4" x14ac:dyDescent="0.25">
      <c r="A134" s="2">
        <v>41305</v>
      </c>
      <c r="B134" s="7">
        <v>266400</v>
      </c>
      <c r="C134" s="11">
        <f t="shared" si="4"/>
        <v>100.41462495288354</v>
      </c>
      <c r="D134" s="11">
        <f t="shared" si="3"/>
        <v>106.02985074626865</v>
      </c>
    </row>
    <row r="135" spans="1:4" x14ac:dyDescent="0.25">
      <c r="A135" s="2">
        <v>41333</v>
      </c>
      <c r="B135" s="7">
        <v>268000</v>
      </c>
      <c r="C135" s="11">
        <f t="shared" si="4"/>
        <v>100.60060060060061</v>
      </c>
      <c r="D135" s="11">
        <f t="shared" si="3"/>
        <v>107.15713714514195</v>
      </c>
    </row>
    <row r="136" spans="1:4" x14ac:dyDescent="0.25">
      <c r="A136" s="2">
        <v>41364</v>
      </c>
      <c r="B136" s="7">
        <v>269800</v>
      </c>
      <c r="C136" s="11">
        <f t="shared" si="4"/>
        <v>100.67164179104478</v>
      </c>
      <c r="D136" s="11">
        <f t="shared" si="3"/>
        <v>107.96318527410963</v>
      </c>
    </row>
    <row r="137" spans="1:4" x14ac:dyDescent="0.25">
      <c r="A137" s="2">
        <v>41394</v>
      </c>
      <c r="B137" s="7">
        <v>271400</v>
      </c>
      <c r="C137" s="11">
        <f t="shared" si="4"/>
        <v>100.59303187546331</v>
      </c>
      <c r="D137" s="11">
        <f t="shared" si="3"/>
        <v>107.74116712981341</v>
      </c>
    </row>
    <row r="138" spans="1:4" x14ac:dyDescent="0.25">
      <c r="A138" s="2">
        <v>41425</v>
      </c>
      <c r="B138" s="7">
        <v>271900</v>
      </c>
      <c r="C138" s="11">
        <f t="shared" si="4"/>
        <v>100.18422991893883</v>
      </c>
      <c r="D138" s="11">
        <f t="shared" si="3"/>
        <v>106.50215432824129</v>
      </c>
    </row>
    <row r="139" spans="1:4" x14ac:dyDescent="0.25">
      <c r="A139" s="2">
        <v>41455</v>
      </c>
      <c r="B139" s="7">
        <v>272000</v>
      </c>
      <c r="C139" s="11">
        <f t="shared" si="4"/>
        <v>100.03677822728945</v>
      </c>
      <c r="D139" s="11">
        <f t="shared" si="3"/>
        <v>105.67210567210567</v>
      </c>
    </row>
    <row r="140" spans="1:4" x14ac:dyDescent="0.25">
      <c r="A140" s="2">
        <v>41486</v>
      </c>
      <c r="B140" s="7">
        <v>272100</v>
      </c>
      <c r="C140" s="11">
        <f t="shared" si="4"/>
        <v>100.03676470588236</v>
      </c>
      <c r="D140" s="11">
        <f t="shared" si="3"/>
        <v>105.30185758513933</v>
      </c>
    </row>
    <row r="141" spans="1:4" x14ac:dyDescent="0.25">
      <c r="A141" s="2">
        <v>41517</v>
      </c>
      <c r="B141" s="6">
        <v>272463.63636363635</v>
      </c>
      <c r="C141" s="11">
        <f t="shared" si="4"/>
        <v>100.13364070695934</v>
      </c>
      <c r="D141" s="11">
        <f t="shared" si="3"/>
        <v>104.79370629370628</v>
      </c>
    </row>
    <row r="142" spans="1:4" x14ac:dyDescent="0.25">
      <c r="A142" s="2">
        <v>41547</v>
      </c>
      <c r="B142" s="6">
        <v>272563.63636363635</v>
      </c>
      <c r="C142" s="11">
        <f t="shared" si="4"/>
        <v>100.03670214540723</v>
      </c>
      <c r="D142" s="11">
        <f t="shared" si="3"/>
        <v>104.1909924937448</v>
      </c>
    </row>
    <row r="143" spans="1:4" x14ac:dyDescent="0.25">
      <c r="A143" s="2">
        <v>41578</v>
      </c>
      <c r="B143" s="6">
        <v>272900</v>
      </c>
      <c r="C143" s="11">
        <f t="shared" si="4"/>
        <v>100.12340737776</v>
      </c>
      <c r="D143" s="11">
        <f t="shared" ref="D143:D206" si="5">IFERROR(B143/B131*100,"")</f>
        <v>103.76425855513307</v>
      </c>
    </row>
    <row r="144" spans="1:4" x14ac:dyDescent="0.25">
      <c r="A144" s="2">
        <v>41608</v>
      </c>
      <c r="B144" s="6">
        <v>273181.81818181818</v>
      </c>
      <c r="C144" s="11">
        <f t="shared" si="4"/>
        <v>100.10326793031079</v>
      </c>
      <c r="D144" s="11">
        <f t="shared" si="5"/>
        <v>103.39962838070332</v>
      </c>
    </row>
    <row r="145" spans="1:4" x14ac:dyDescent="0.25">
      <c r="A145" s="2">
        <v>41639</v>
      </c>
      <c r="B145" s="6">
        <v>273327.27272727271</v>
      </c>
      <c r="C145" s="11">
        <f t="shared" si="4"/>
        <v>100.05324459234608</v>
      </c>
      <c r="D145" s="11">
        <f t="shared" si="5"/>
        <v>103.02573416029878</v>
      </c>
    </row>
    <row r="146" spans="1:4" x14ac:dyDescent="0.25">
      <c r="A146" s="2">
        <v>41670</v>
      </c>
      <c r="B146" s="6">
        <v>273363.63636363635</v>
      </c>
      <c r="C146" s="11">
        <f t="shared" si="4"/>
        <v>100.01330406439169</v>
      </c>
      <c r="D146" s="11">
        <f t="shared" si="5"/>
        <v>102.61397761397761</v>
      </c>
    </row>
    <row r="147" spans="1:4" x14ac:dyDescent="0.25">
      <c r="A147" s="2">
        <v>41698</v>
      </c>
      <c r="B147" s="6">
        <v>273404.54545454547</v>
      </c>
      <c r="C147" s="11">
        <f t="shared" si="4"/>
        <v>100.01496508147656</v>
      </c>
      <c r="D147" s="11">
        <f t="shared" si="5"/>
        <v>102.01662143826324</v>
      </c>
    </row>
    <row r="148" spans="1:4" x14ac:dyDescent="0.25">
      <c r="A148" s="2">
        <v>41729</v>
      </c>
      <c r="B148" s="6">
        <v>273404.54545454547</v>
      </c>
      <c r="C148" s="11">
        <f t="shared" si="4"/>
        <v>100</v>
      </c>
      <c r="D148" s="11">
        <f t="shared" si="5"/>
        <v>101.33600646943866</v>
      </c>
    </row>
    <row r="149" spans="1:4" x14ac:dyDescent="0.25">
      <c r="A149" s="2">
        <v>41759</v>
      </c>
      <c r="B149" s="6">
        <v>273504.54545454547</v>
      </c>
      <c r="C149" s="11">
        <f t="shared" si="4"/>
        <v>100.03657583667227</v>
      </c>
      <c r="D149" s="11">
        <f t="shared" si="5"/>
        <v>100.77544047698801</v>
      </c>
    </row>
    <row r="150" spans="1:4" x14ac:dyDescent="0.25">
      <c r="A150" s="2">
        <v>41790</v>
      </c>
      <c r="B150" s="6">
        <v>273590.90909090912</v>
      </c>
      <c r="C150" s="11">
        <f t="shared" si="4"/>
        <v>100.03157667314819</v>
      </c>
      <c r="D150" s="11">
        <f t="shared" si="5"/>
        <v>100.62188638871244</v>
      </c>
    </row>
    <row r="151" spans="1:4" x14ac:dyDescent="0.25">
      <c r="A151" s="2">
        <v>41820</v>
      </c>
      <c r="B151" s="6">
        <v>273590.90909090912</v>
      </c>
      <c r="C151" s="11">
        <f t="shared" si="4"/>
        <v>100</v>
      </c>
      <c r="D151" s="11">
        <f t="shared" si="5"/>
        <v>100.58489304812835</v>
      </c>
    </row>
    <row r="152" spans="1:4" x14ac:dyDescent="0.25">
      <c r="A152" s="2">
        <v>41851</v>
      </c>
      <c r="B152" s="6">
        <v>273659.09090909088</v>
      </c>
      <c r="C152" s="11">
        <f t="shared" si="4"/>
        <v>100.02492108323639</v>
      </c>
      <c r="D152" s="11">
        <f t="shared" si="5"/>
        <v>100.57298453108817</v>
      </c>
    </row>
    <row r="153" spans="1:4" x14ac:dyDescent="0.25">
      <c r="A153" s="2">
        <v>41882</v>
      </c>
      <c r="B153" s="6">
        <v>273659.09090909088</v>
      </c>
      <c r="C153" s="11">
        <f t="shared" si="4"/>
        <v>100</v>
      </c>
      <c r="D153" s="11">
        <f t="shared" si="5"/>
        <v>100.43875746555003</v>
      </c>
    </row>
    <row r="154" spans="1:4" x14ac:dyDescent="0.25">
      <c r="A154" s="2">
        <v>41912</v>
      </c>
      <c r="B154" s="6">
        <v>273718.18181818182</v>
      </c>
      <c r="C154" s="11">
        <f t="shared" si="4"/>
        <v>100.02159289095592</v>
      </c>
      <c r="D154" s="11">
        <f t="shared" si="5"/>
        <v>100.42358748582483</v>
      </c>
    </row>
    <row r="155" spans="1:4" x14ac:dyDescent="0.25">
      <c r="A155" s="2">
        <v>41943</v>
      </c>
      <c r="B155" s="6">
        <v>273750</v>
      </c>
      <c r="C155" s="11">
        <f t="shared" si="4"/>
        <v>100.01162443123319</v>
      </c>
      <c r="D155" s="11">
        <f t="shared" si="5"/>
        <v>100.31146940271161</v>
      </c>
    </row>
    <row r="156" spans="1:4" x14ac:dyDescent="0.25">
      <c r="A156" s="2">
        <v>41973</v>
      </c>
      <c r="B156" s="6">
        <v>273763.63636363635</v>
      </c>
      <c r="C156" s="11">
        <f t="shared" si="4"/>
        <v>100.00498132004981</v>
      </c>
      <c r="D156" s="11">
        <f t="shared" si="5"/>
        <v>100.21297836938436</v>
      </c>
    </row>
    <row r="157" spans="1:4" x14ac:dyDescent="0.25">
      <c r="A157" s="2">
        <v>42004</v>
      </c>
      <c r="B157" s="6">
        <v>273809.09090909088</v>
      </c>
      <c r="C157" s="11">
        <f t="shared" si="4"/>
        <v>100.01660357308893</v>
      </c>
      <c r="D157" s="11">
        <f t="shared" si="5"/>
        <v>100.17627885318964</v>
      </c>
    </row>
    <row r="158" spans="1:4" x14ac:dyDescent="0.25">
      <c r="A158" s="2">
        <v>42035</v>
      </c>
      <c r="B158" s="6">
        <v>273745.45454545453</v>
      </c>
      <c r="C158" s="11">
        <f t="shared" si="4"/>
        <v>99.976758856535739</v>
      </c>
      <c r="D158" s="11">
        <f t="shared" si="5"/>
        <v>100.13967409378117</v>
      </c>
    </row>
    <row r="159" spans="1:4" x14ac:dyDescent="0.25">
      <c r="A159" s="2">
        <v>42063</v>
      </c>
      <c r="B159" s="6">
        <v>274031.81818181818</v>
      </c>
      <c r="C159" s="11">
        <f t="shared" si="4"/>
        <v>100.10460945802338</v>
      </c>
      <c r="D159" s="11">
        <f t="shared" si="5"/>
        <v>100.22943024821691</v>
      </c>
    </row>
    <row r="160" spans="1:4" x14ac:dyDescent="0.25">
      <c r="A160" s="2">
        <v>42094</v>
      </c>
      <c r="B160" s="6">
        <v>274081.818181818</v>
      </c>
      <c r="C160" s="11">
        <f t="shared" si="4"/>
        <v>100.01824605636367</v>
      </c>
      <c r="D160" s="11">
        <f t="shared" si="5"/>
        <v>100.24771816655299</v>
      </c>
    </row>
    <row r="161" spans="1:4" x14ac:dyDescent="0.25">
      <c r="A161" s="2">
        <v>42124</v>
      </c>
      <c r="B161" s="6">
        <v>274150</v>
      </c>
      <c r="C161" s="11">
        <f t="shared" si="4"/>
        <v>100.02487644698006</v>
      </c>
      <c r="D161" s="11">
        <f t="shared" si="5"/>
        <v>100.23599408352861</v>
      </c>
    </row>
    <row r="162" spans="1:4" x14ac:dyDescent="0.25">
      <c r="A162" s="2">
        <v>42155</v>
      </c>
      <c r="B162" s="6">
        <v>274195.45454545453</v>
      </c>
      <c r="C162" s="11">
        <f t="shared" si="4"/>
        <v>100.01658017342861</v>
      </c>
      <c r="D162" s="11">
        <f t="shared" si="5"/>
        <v>100.22096693802955</v>
      </c>
    </row>
    <row r="163" spans="1:4" x14ac:dyDescent="0.25">
      <c r="A163" s="2">
        <v>42185</v>
      </c>
      <c r="B163" s="6">
        <v>274250</v>
      </c>
      <c r="C163" s="11">
        <f t="shared" si="4"/>
        <v>100.01989290983539</v>
      </c>
      <c r="D163" s="11">
        <f t="shared" si="5"/>
        <v>100.2409038046187</v>
      </c>
    </row>
    <row r="164" spans="1:4" x14ac:dyDescent="0.25">
      <c r="A164" s="2">
        <v>42216</v>
      </c>
      <c r="B164" s="6">
        <v>274268.18181818182</v>
      </c>
      <c r="C164" s="11">
        <f t="shared" si="4"/>
        <v>100.00662965111462</v>
      </c>
      <c r="D164" s="11">
        <f t="shared" si="5"/>
        <v>100.22257287600698</v>
      </c>
    </row>
    <row r="165" spans="1:4" x14ac:dyDescent="0.25">
      <c r="A165" s="2">
        <v>42247</v>
      </c>
      <c r="B165" s="6">
        <v>274290.90909090912</v>
      </c>
      <c r="C165" s="11">
        <f t="shared" si="4"/>
        <v>100.00828651452626</v>
      </c>
      <c r="D165" s="11">
        <f t="shared" si="5"/>
        <v>100.23087783406697</v>
      </c>
    </row>
    <row r="166" spans="1:4" x14ac:dyDescent="0.25">
      <c r="A166" s="2">
        <v>42277</v>
      </c>
      <c r="B166" s="6">
        <v>274350</v>
      </c>
      <c r="C166" s="11">
        <f t="shared" si="4"/>
        <v>100.02154315259179</v>
      </c>
      <c r="D166" s="11">
        <f t="shared" si="5"/>
        <v>100.23082799163041</v>
      </c>
    </row>
    <row r="167" spans="1:4" x14ac:dyDescent="0.25">
      <c r="A167" s="2">
        <v>42308</v>
      </c>
      <c r="B167" s="6">
        <v>274404.54545454547</v>
      </c>
      <c r="C167" s="11">
        <f t="shared" si="4"/>
        <v>100.01988170386203</v>
      </c>
      <c r="D167" s="11">
        <f t="shared" si="5"/>
        <v>100.23910336239103</v>
      </c>
    </row>
    <row r="168" spans="1:4" x14ac:dyDescent="0.25">
      <c r="A168" s="2">
        <v>42338</v>
      </c>
      <c r="B168" s="6">
        <v>274459.09090909088</v>
      </c>
      <c r="C168" s="11">
        <f t="shared" si="4"/>
        <v>100.01987775182626</v>
      </c>
      <c r="D168" s="11">
        <f t="shared" si="5"/>
        <v>100.2540346682606</v>
      </c>
    </row>
    <row r="169" spans="1:4" x14ac:dyDescent="0.25">
      <c r="A169" s="2">
        <v>42369</v>
      </c>
      <c r="B169" s="6">
        <v>274490.90909090912</v>
      </c>
      <c r="C169" s="11">
        <f t="shared" si="4"/>
        <v>100.01159305079415</v>
      </c>
      <c r="D169" s="11">
        <f t="shared" si="5"/>
        <v>100.24901225140279</v>
      </c>
    </row>
    <row r="170" spans="1:4" x14ac:dyDescent="0.25">
      <c r="A170" s="2">
        <v>42400</v>
      </c>
      <c r="B170" s="6">
        <v>274559.09090909088</v>
      </c>
      <c r="C170" s="11">
        <f t="shared" si="4"/>
        <v>100.02483937206065</v>
      </c>
      <c r="D170" s="11">
        <f t="shared" si="5"/>
        <v>100.29722369819341</v>
      </c>
    </row>
    <row r="171" spans="1:4" x14ac:dyDescent="0.25">
      <c r="A171" s="2">
        <v>42429</v>
      </c>
      <c r="B171" s="6">
        <v>274654.54545454547</v>
      </c>
      <c r="C171" s="11">
        <f t="shared" si="4"/>
        <v>100.03476648510836</v>
      </c>
      <c r="D171" s="11">
        <f t="shared" si="5"/>
        <v>100.22724633834825</v>
      </c>
    </row>
    <row r="172" spans="1:4" x14ac:dyDescent="0.25">
      <c r="A172" s="2">
        <v>42460</v>
      </c>
      <c r="B172" s="6">
        <v>274718.18181818182</v>
      </c>
      <c r="C172" s="11">
        <f t="shared" si="4"/>
        <v>100.02316960148285</v>
      </c>
      <c r="D172" s="11">
        <f t="shared" si="5"/>
        <v>100.23218017181338</v>
      </c>
    </row>
    <row r="173" spans="1:4" x14ac:dyDescent="0.25">
      <c r="A173" s="2">
        <v>42490</v>
      </c>
      <c r="B173" s="6">
        <v>274768.18181818182</v>
      </c>
      <c r="C173" s="11">
        <f t="shared" si="4"/>
        <v>100.01820046990304</v>
      </c>
      <c r="D173" s="11">
        <f t="shared" si="5"/>
        <v>100.22549035862916</v>
      </c>
    </row>
    <row r="174" spans="1:4" x14ac:dyDescent="0.25">
      <c r="A174" s="2">
        <v>42521</v>
      </c>
      <c r="B174" s="6">
        <v>274809.09090909088</v>
      </c>
      <c r="C174" s="11">
        <f t="shared" si="4"/>
        <v>100.01488858376482</v>
      </c>
      <c r="D174" s="11">
        <f t="shared" si="5"/>
        <v>100.22379523564808</v>
      </c>
    </row>
    <row r="175" spans="1:4" x14ac:dyDescent="0.25">
      <c r="A175" s="2">
        <v>42551</v>
      </c>
      <c r="B175" s="6">
        <v>274890.90909090912</v>
      </c>
      <c r="C175" s="11">
        <f t="shared" si="4"/>
        <v>100.02977273479112</v>
      </c>
      <c r="D175" s="11">
        <f t="shared" si="5"/>
        <v>100.23369520179001</v>
      </c>
    </row>
    <row r="176" spans="1:4" x14ac:dyDescent="0.25">
      <c r="A176" s="2">
        <v>42582</v>
      </c>
      <c r="B176" s="6">
        <v>274909.09090909088</v>
      </c>
      <c r="C176" s="11">
        <f t="shared" si="4"/>
        <v>100.00661419406043</v>
      </c>
      <c r="D176" s="11">
        <f t="shared" si="5"/>
        <v>100.23367970964053</v>
      </c>
    </row>
    <row r="177" spans="1:4" x14ac:dyDescent="0.25">
      <c r="A177" s="2">
        <v>42613</v>
      </c>
      <c r="B177" s="6">
        <v>274950</v>
      </c>
      <c r="C177" s="11">
        <f t="shared" si="4"/>
        <v>100.01488095238096</v>
      </c>
      <c r="D177" s="11">
        <f t="shared" si="5"/>
        <v>100.24028900967782</v>
      </c>
    </row>
    <row r="178" spans="1:4" x14ac:dyDescent="0.25">
      <c r="A178" s="2">
        <v>42643</v>
      </c>
      <c r="B178" s="6">
        <v>274968.18181818182</v>
      </c>
      <c r="C178" s="11">
        <f t="shared" si="4"/>
        <v>100.00661277257021</v>
      </c>
      <c r="D178" s="11">
        <f t="shared" si="5"/>
        <v>100.2253259771029</v>
      </c>
    </row>
    <row r="179" spans="1:4" x14ac:dyDescent="0.25">
      <c r="A179" s="2">
        <v>42674</v>
      </c>
      <c r="B179" s="6">
        <v>275050</v>
      </c>
      <c r="C179" s="11">
        <f t="shared" si="4"/>
        <v>100.02975550890186</v>
      </c>
      <c r="D179" s="11">
        <f t="shared" si="5"/>
        <v>100.2352200632775</v>
      </c>
    </row>
    <row r="180" spans="1:4" x14ac:dyDescent="0.25">
      <c r="A180" s="2">
        <v>42704</v>
      </c>
      <c r="B180" s="6">
        <v>275104.54545454547</v>
      </c>
      <c r="C180" s="11">
        <f t="shared" si="4"/>
        <v>100.01983110508834</v>
      </c>
      <c r="D180" s="11">
        <f t="shared" si="5"/>
        <v>100.23517331610938</v>
      </c>
    </row>
    <row r="181" spans="1:4" x14ac:dyDescent="0.25">
      <c r="A181" s="2">
        <v>42735</v>
      </c>
      <c r="B181" s="6">
        <v>275218.18181818182</v>
      </c>
      <c r="C181" s="11">
        <f t="shared" si="4"/>
        <v>100.04130661070998</v>
      </c>
      <c r="D181" s="11">
        <f t="shared" si="5"/>
        <v>100.26495330198051</v>
      </c>
    </row>
    <row r="182" spans="1:4" x14ac:dyDescent="0.25">
      <c r="A182" s="2">
        <v>42766</v>
      </c>
      <c r="B182" s="6">
        <v>274181.81818181818</v>
      </c>
      <c r="C182" s="11">
        <f t="shared" si="4"/>
        <v>99.623439254806101</v>
      </c>
      <c r="D182" s="11">
        <f t="shared" si="5"/>
        <v>99.862589606476504</v>
      </c>
    </row>
    <row r="183" spans="1:4" x14ac:dyDescent="0.25">
      <c r="A183" s="2">
        <v>42794</v>
      </c>
      <c r="B183" s="6">
        <v>274040.90909090912</v>
      </c>
      <c r="C183" s="11">
        <f t="shared" si="4"/>
        <v>99.94860742705572</v>
      </c>
      <c r="D183" s="11">
        <f t="shared" si="5"/>
        <v>99.776578842843904</v>
      </c>
    </row>
    <row r="184" spans="1:4" x14ac:dyDescent="0.25">
      <c r="A184" s="2">
        <v>42825</v>
      </c>
      <c r="B184" s="6">
        <v>270050</v>
      </c>
      <c r="C184" s="11">
        <f t="shared" si="4"/>
        <v>98.543681268556455</v>
      </c>
      <c r="D184" s="11">
        <f t="shared" si="5"/>
        <v>98.300737946325157</v>
      </c>
    </row>
    <row r="185" spans="1:4" x14ac:dyDescent="0.25">
      <c r="A185" s="2">
        <v>42855</v>
      </c>
      <c r="B185" s="6">
        <v>261845.45454545456</v>
      </c>
      <c r="C185" s="11">
        <f t="shared" si="4"/>
        <v>96.961842083115926</v>
      </c>
      <c r="D185" s="11">
        <f t="shared" si="5"/>
        <v>95.296861817399787</v>
      </c>
    </row>
    <row r="186" spans="1:4" x14ac:dyDescent="0.25">
      <c r="A186" s="2">
        <v>42886</v>
      </c>
      <c r="B186" s="6">
        <v>261350</v>
      </c>
      <c r="C186" s="11">
        <f t="shared" si="4"/>
        <v>99.810783598930669</v>
      </c>
      <c r="D186" s="11">
        <f t="shared" si="5"/>
        <v>95.102385126864945</v>
      </c>
    </row>
    <row r="187" spans="1:4" x14ac:dyDescent="0.25">
      <c r="A187" s="2">
        <v>42916</v>
      </c>
      <c r="B187" s="6">
        <v>261618.18181818182</v>
      </c>
      <c r="C187" s="11">
        <f t="shared" si="4"/>
        <v>100.10261404942867</v>
      </c>
      <c r="D187" s="11">
        <f t="shared" si="5"/>
        <v>95.171638335868764</v>
      </c>
    </row>
    <row r="188" spans="1:4" x14ac:dyDescent="0.25">
      <c r="A188" s="2">
        <v>42947</v>
      </c>
      <c r="B188" s="6">
        <v>261868.18181818182</v>
      </c>
      <c r="C188" s="11">
        <f t="shared" si="4"/>
        <v>100.0955591076517</v>
      </c>
      <c r="D188" s="11">
        <f t="shared" si="5"/>
        <v>95.256283068783077</v>
      </c>
    </row>
    <row r="189" spans="1:4" x14ac:dyDescent="0.25">
      <c r="A189" s="2">
        <v>42978</v>
      </c>
      <c r="B189" s="6">
        <v>261613.63636363635</v>
      </c>
      <c r="C189" s="11">
        <f t="shared" si="4"/>
        <v>99.902796340976536</v>
      </c>
      <c r="D189" s="11">
        <f t="shared" si="5"/>
        <v>95.149531319744085</v>
      </c>
    </row>
    <row r="190" spans="1:4" x14ac:dyDescent="0.25">
      <c r="A190" s="2">
        <v>43008</v>
      </c>
      <c r="B190" s="6">
        <v>262190.90909090912</v>
      </c>
      <c r="C190" s="11">
        <f t="shared" si="4"/>
        <v>100.2206585005647</v>
      </c>
      <c r="D190" s="11">
        <f t="shared" si="5"/>
        <v>95.353181359826763</v>
      </c>
    </row>
    <row r="191" spans="1:4" x14ac:dyDescent="0.25">
      <c r="A191" s="2">
        <v>43039</v>
      </c>
      <c r="B191" s="6">
        <v>263772.72727272729</v>
      </c>
      <c r="C191" s="11">
        <f t="shared" si="4"/>
        <v>100.60330779099198</v>
      </c>
      <c r="D191" s="11">
        <f t="shared" si="5"/>
        <v>95.899919022987561</v>
      </c>
    </row>
    <row r="192" spans="1:4" x14ac:dyDescent="0.25">
      <c r="A192" s="2">
        <v>43069</v>
      </c>
      <c r="B192" s="6">
        <v>264095.45454545453</v>
      </c>
      <c r="C192" s="11">
        <f t="shared" si="4"/>
        <v>100.12235050835774</v>
      </c>
      <c r="D192" s="11">
        <f t="shared" si="5"/>
        <v>95.998215554417328</v>
      </c>
    </row>
    <row r="193" spans="1:4" x14ac:dyDescent="0.25">
      <c r="A193" s="2">
        <v>43100</v>
      </c>
      <c r="B193" s="6">
        <v>267181.81818181818</v>
      </c>
      <c r="C193" s="11">
        <f t="shared" si="4"/>
        <v>101.16865458425846</v>
      </c>
      <c r="D193" s="11">
        <f t="shared" si="5"/>
        <v>97.080002642531539</v>
      </c>
    </row>
    <row r="194" spans="1:4" x14ac:dyDescent="0.25">
      <c r="A194" s="2">
        <v>43131</v>
      </c>
      <c r="B194" s="6">
        <v>271568.18181818182</v>
      </c>
      <c r="C194" s="11">
        <f t="shared" si="4"/>
        <v>101.64171486900307</v>
      </c>
      <c r="D194" s="11">
        <f t="shared" si="5"/>
        <v>99.046750663129984</v>
      </c>
    </row>
    <row r="195" spans="1:4" x14ac:dyDescent="0.25">
      <c r="A195" s="2">
        <v>43159</v>
      </c>
      <c r="B195" s="6">
        <v>273231.81818181818</v>
      </c>
      <c r="C195" s="11">
        <f t="shared" si="4"/>
        <v>100.61260356515189</v>
      </c>
      <c r="D195" s="11">
        <f t="shared" si="5"/>
        <v>99.704755428021684</v>
      </c>
    </row>
    <row r="196" spans="1:4" x14ac:dyDescent="0.25">
      <c r="A196" s="2">
        <v>43190</v>
      </c>
      <c r="B196" s="8">
        <v>277177.27272727271</v>
      </c>
      <c r="C196" s="11">
        <f t="shared" ref="C196:C259" si="6">IFERROR(B196/B195*100,"")</f>
        <v>101.44399527540715</v>
      </c>
      <c r="D196" s="11">
        <f t="shared" si="5"/>
        <v>102.63924189123226</v>
      </c>
    </row>
    <row r="197" spans="1:4" x14ac:dyDescent="0.25">
      <c r="A197" s="2">
        <v>43220</v>
      </c>
      <c r="B197" s="8">
        <v>279045.45454545453</v>
      </c>
      <c r="C197" s="11">
        <f t="shared" si="6"/>
        <v>100.6740025254596</v>
      </c>
      <c r="D197" s="11">
        <f t="shared" si="5"/>
        <v>106.56876019859041</v>
      </c>
    </row>
    <row r="198" spans="1:4" x14ac:dyDescent="0.25">
      <c r="A198" s="2">
        <v>43251</v>
      </c>
      <c r="B198" s="8">
        <v>281418.18181818182</v>
      </c>
      <c r="C198" s="11">
        <f t="shared" si="6"/>
        <v>100.85030135201174</v>
      </c>
      <c r="D198" s="11">
        <f t="shared" si="5"/>
        <v>107.67866149538237</v>
      </c>
    </row>
    <row r="199" spans="1:4" x14ac:dyDescent="0.25">
      <c r="A199" s="2">
        <v>43281</v>
      </c>
      <c r="B199" s="8">
        <v>283827.27272727271</v>
      </c>
      <c r="C199" s="11">
        <f t="shared" si="6"/>
        <v>100.85605375371493</v>
      </c>
      <c r="D199" s="11">
        <f t="shared" si="5"/>
        <v>108.48912363611092</v>
      </c>
    </row>
    <row r="200" spans="1:4" x14ac:dyDescent="0.25">
      <c r="A200" s="2">
        <v>43312</v>
      </c>
      <c r="B200" s="8">
        <v>285759.09090909088</v>
      </c>
      <c r="C200" s="11">
        <f t="shared" si="6"/>
        <v>100.68063162614907</v>
      </c>
      <c r="D200" s="11">
        <f t="shared" si="5"/>
        <v>109.12325771120098</v>
      </c>
    </row>
    <row r="201" spans="1:4" x14ac:dyDescent="0.25">
      <c r="A201" s="2">
        <v>43343</v>
      </c>
      <c r="B201" s="8">
        <v>287695.45454545453</v>
      </c>
      <c r="C201" s="11">
        <f t="shared" si="6"/>
        <v>100.6776210094326</v>
      </c>
      <c r="D201" s="11">
        <f t="shared" si="5"/>
        <v>109.96959430110329</v>
      </c>
    </row>
    <row r="202" spans="1:4" x14ac:dyDescent="0.25">
      <c r="A202" s="2">
        <v>43373</v>
      </c>
      <c r="B202" s="8">
        <v>289968.18181818182</v>
      </c>
      <c r="C202" s="11">
        <f t="shared" si="6"/>
        <v>100.78997677468283</v>
      </c>
      <c r="D202" s="11">
        <f t="shared" si="5"/>
        <v>110.59429284698865</v>
      </c>
    </row>
    <row r="203" spans="1:4" x14ac:dyDescent="0.25">
      <c r="A203" s="2">
        <v>43404</v>
      </c>
      <c r="B203" s="8">
        <v>292490.90909090912</v>
      </c>
      <c r="C203" s="11">
        <f t="shared" si="6"/>
        <v>100.8700014108131</v>
      </c>
      <c r="D203" s="11">
        <f t="shared" si="5"/>
        <v>110.8874719972428</v>
      </c>
    </row>
    <row r="204" spans="1:4" x14ac:dyDescent="0.25">
      <c r="A204" s="2">
        <v>43434</v>
      </c>
      <c r="B204" s="8">
        <v>293436.36363636365</v>
      </c>
      <c r="C204" s="11">
        <f t="shared" si="6"/>
        <v>100.3232423696152</v>
      </c>
      <c r="D204" s="11">
        <f t="shared" si="5"/>
        <v>111.10996368392972</v>
      </c>
    </row>
    <row r="205" spans="1:4" x14ac:dyDescent="0.25">
      <c r="A205" s="2">
        <v>43465</v>
      </c>
      <c r="B205" s="8">
        <v>295559.09090909088</v>
      </c>
      <c r="C205" s="11">
        <f t="shared" si="6"/>
        <v>100.72340293698494</v>
      </c>
      <c r="D205" s="11">
        <f t="shared" si="5"/>
        <v>110.62095951003744</v>
      </c>
    </row>
    <row r="206" spans="1:4" x14ac:dyDescent="0.25">
      <c r="A206" s="2">
        <v>43496</v>
      </c>
      <c r="B206" s="8">
        <v>296090.90909090912</v>
      </c>
      <c r="C206" s="11">
        <f t="shared" si="6"/>
        <v>100.17993633022164</v>
      </c>
      <c r="D206" s="11">
        <f t="shared" si="5"/>
        <v>109.03004435517619</v>
      </c>
    </row>
    <row r="207" spans="1:4" x14ac:dyDescent="0.25">
      <c r="A207" s="2">
        <v>43524</v>
      </c>
      <c r="B207" s="8">
        <v>298145.45454545453</v>
      </c>
      <c r="C207" s="11">
        <f t="shared" si="6"/>
        <v>100.69389008289835</v>
      </c>
      <c r="D207" s="11">
        <f t="shared" ref="D207:D270" si="7">IFERROR(B207/B195*100,"")</f>
        <v>109.11813145680492</v>
      </c>
    </row>
    <row r="208" spans="1:4" x14ac:dyDescent="0.25">
      <c r="A208" s="2">
        <v>43555</v>
      </c>
      <c r="B208" s="8">
        <v>303909.09090909088</v>
      </c>
      <c r="C208" s="11">
        <f t="shared" si="6"/>
        <v>101.93316258080254</v>
      </c>
      <c r="D208" s="11">
        <f t="shared" si="7"/>
        <v>109.64430377671002</v>
      </c>
    </row>
    <row r="209" spans="1:4" x14ac:dyDescent="0.25">
      <c r="A209" s="2">
        <v>43585</v>
      </c>
      <c r="B209" s="8">
        <v>306300</v>
      </c>
      <c r="C209" s="11">
        <f t="shared" si="6"/>
        <v>100.78671851630273</v>
      </c>
      <c r="D209" s="11">
        <f t="shared" si="7"/>
        <v>109.76706303958299</v>
      </c>
    </row>
    <row r="210" spans="1:4" x14ac:dyDescent="0.25">
      <c r="A210" s="2">
        <v>43616</v>
      </c>
      <c r="B210" s="8">
        <v>309150</v>
      </c>
      <c r="C210" s="11">
        <f t="shared" si="6"/>
        <v>100.93046033300685</v>
      </c>
      <c r="D210" s="11">
        <f t="shared" si="7"/>
        <v>109.85430934229228</v>
      </c>
    </row>
    <row r="211" spans="1:4" x14ac:dyDescent="0.25">
      <c r="A211" s="2">
        <v>43646</v>
      </c>
      <c r="B211" s="8">
        <v>311600</v>
      </c>
      <c r="C211" s="11">
        <f t="shared" si="6"/>
        <v>100.79249555232089</v>
      </c>
      <c r="D211" s="11">
        <f t="shared" si="7"/>
        <v>109.78508055475483</v>
      </c>
    </row>
    <row r="212" spans="1:4" x14ac:dyDescent="0.25">
      <c r="A212" s="2">
        <v>43677</v>
      </c>
      <c r="B212" s="8">
        <v>313877.27272727271</v>
      </c>
      <c r="C212" s="11">
        <f t="shared" si="6"/>
        <v>100.73083206908623</v>
      </c>
      <c r="D212" s="11">
        <f t="shared" si="7"/>
        <v>109.83982057359188</v>
      </c>
    </row>
    <row r="213" spans="1:4" x14ac:dyDescent="0.25">
      <c r="A213" s="2">
        <v>43708</v>
      </c>
      <c r="B213" s="8">
        <v>317472.72727272729</v>
      </c>
      <c r="C213" s="11">
        <f t="shared" si="6"/>
        <v>101.14549693713526</v>
      </c>
      <c r="D213" s="11">
        <f t="shared" si="7"/>
        <v>110.35027570189438</v>
      </c>
    </row>
    <row r="214" spans="1:4" x14ac:dyDescent="0.25">
      <c r="A214" s="2">
        <v>43738</v>
      </c>
      <c r="B214" s="8">
        <v>321381.81818181818</v>
      </c>
      <c r="C214" s="11">
        <f t="shared" si="6"/>
        <v>101.23131550312124</v>
      </c>
      <c r="D214" s="11">
        <f t="shared" si="7"/>
        <v>110.83347702726003</v>
      </c>
    </row>
    <row r="215" spans="1:4" x14ac:dyDescent="0.25">
      <c r="A215" s="2">
        <v>43769</v>
      </c>
      <c r="B215" s="8">
        <v>326990.90909090912</v>
      </c>
      <c r="C215" s="11">
        <f t="shared" si="6"/>
        <v>101.74530436750398</v>
      </c>
      <c r="D215" s="11">
        <f t="shared" si="7"/>
        <v>111.79523839124758</v>
      </c>
    </row>
    <row r="216" spans="1:4" x14ac:dyDescent="0.25">
      <c r="A216" s="2">
        <v>43799</v>
      </c>
      <c r="B216" s="8">
        <v>333681.81818181818</v>
      </c>
      <c r="C216" s="11">
        <f t="shared" si="6"/>
        <v>102.04620645555894</v>
      </c>
      <c r="D216" s="11">
        <f t="shared" si="7"/>
        <v>113.71522399157321</v>
      </c>
    </row>
    <row r="217" spans="1:4" x14ac:dyDescent="0.25">
      <c r="A217" s="2">
        <v>43830</v>
      </c>
      <c r="B217" s="8">
        <v>341450</v>
      </c>
      <c r="C217" s="11">
        <f t="shared" si="6"/>
        <v>102.32802070562595</v>
      </c>
      <c r="D217" s="11">
        <f t="shared" si="7"/>
        <v>115.52681358903773</v>
      </c>
    </row>
    <row r="218" spans="1:4" x14ac:dyDescent="0.25">
      <c r="A218" s="2">
        <v>43861</v>
      </c>
      <c r="B218" s="8">
        <v>343372.72727272729</v>
      </c>
      <c r="C218" s="11">
        <f t="shared" si="6"/>
        <v>100.56310653762696</v>
      </c>
      <c r="D218" s="11">
        <f t="shared" si="7"/>
        <v>115.96868283696654</v>
      </c>
    </row>
    <row r="219" spans="1:4" x14ac:dyDescent="0.25">
      <c r="A219" s="2">
        <v>43890</v>
      </c>
      <c r="B219" s="8">
        <v>347172.72727272729</v>
      </c>
      <c r="C219" s="11">
        <f t="shared" si="6"/>
        <v>101.10666913769823</v>
      </c>
      <c r="D219" s="11">
        <f t="shared" si="7"/>
        <v>116.44407854616419</v>
      </c>
    </row>
    <row r="220" spans="1:4" x14ac:dyDescent="0.25">
      <c r="A220" s="2">
        <v>43921</v>
      </c>
      <c r="B220" s="8">
        <v>349190.90909090912</v>
      </c>
      <c r="C220" s="11">
        <f t="shared" si="6"/>
        <v>100.58131922804996</v>
      </c>
      <c r="D220" s="11">
        <f t="shared" si="7"/>
        <v>114.89979060723903</v>
      </c>
    </row>
    <row r="221" spans="1:4" x14ac:dyDescent="0.25">
      <c r="A221" s="2">
        <v>43951</v>
      </c>
      <c r="B221" s="8">
        <v>349190.90909090912</v>
      </c>
      <c r="C221" s="11">
        <f t="shared" si="6"/>
        <v>100</v>
      </c>
      <c r="D221" s="11">
        <f t="shared" si="7"/>
        <v>114.00290861603301</v>
      </c>
    </row>
    <row r="222" spans="1:4" x14ac:dyDescent="0.25">
      <c r="A222" s="2">
        <v>43982</v>
      </c>
      <c r="B222" s="8">
        <v>345781.81818181818</v>
      </c>
      <c r="C222" s="11">
        <f t="shared" si="6"/>
        <v>99.023717164353954</v>
      </c>
      <c r="D222" s="11">
        <f t="shared" si="7"/>
        <v>111.84920529898696</v>
      </c>
    </row>
    <row r="223" spans="1:4" x14ac:dyDescent="0.25">
      <c r="A223" s="2">
        <v>44012</v>
      </c>
      <c r="B223" s="8">
        <v>342109.09090909088</v>
      </c>
      <c r="C223" s="11">
        <f t="shared" si="6"/>
        <v>98.937848354190763</v>
      </c>
      <c r="D223" s="11">
        <f t="shared" si="7"/>
        <v>109.79110748045278</v>
      </c>
    </row>
    <row r="224" spans="1:4" x14ac:dyDescent="0.25">
      <c r="A224" s="2">
        <v>44043</v>
      </c>
      <c r="B224" s="8">
        <v>336309.09090909088</v>
      </c>
      <c r="C224" s="11">
        <f t="shared" si="6"/>
        <v>98.304634353741491</v>
      </c>
      <c r="D224" s="11">
        <f t="shared" si="7"/>
        <v>107.14668443079954</v>
      </c>
    </row>
    <row r="225" spans="1:4" x14ac:dyDescent="0.25">
      <c r="A225" s="2">
        <v>44074</v>
      </c>
      <c r="B225" s="8">
        <v>332572.72727272729</v>
      </c>
      <c r="C225" s="11">
        <f t="shared" si="6"/>
        <v>98.889009028491131</v>
      </c>
      <c r="D225" s="11">
        <f t="shared" si="7"/>
        <v>104.75631407135904</v>
      </c>
    </row>
    <row r="226" spans="1:4" x14ac:dyDescent="0.25">
      <c r="A226" s="2">
        <v>44104</v>
      </c>
      <c r="B226" s="8">
        <v>332027.27272727271</v>
      </c>
      <c r="C226" s="11">
        <f t="shared" si="6"/>
        <v>99.835989393980796</v>
      </c>
      <c r="D226" s="11">
        <f t="shared" si="7"/>
        <v>103.31240099570039</v>
      </c>
    </row>
    <row r="227" spans="1:4" x14ac:dyDescent="0.25">
      <c r="A227" s="2">
        <v>44135</v>
      </c>
      <c r="B227" s="8">
        <v>329718.18181818182</v>
      </c>
      <c r="C227" s="11">
        <f t="shared" si="6"/>
        <v>99.304547819182446</v>
      </c>
      <c r="D227" s="11">
        <f t="shared" si="7"/>
        <v>100.83405154438543</v>
      </c>
    </row>
    <row r="228" spans="1:4" x14ac:dyDescent="0.25">
      <c r="A228" s="2">
        <v>44165</v>
      </c>
      <c r="B228" s="8">
        <v>327100</v>
      </c>
      <c r="C228" s="11">
        <f t="shared" si="6"/>
        <v>99.205933441782236</v>
      </c>
      <c r="D228" s="11">
        <f t="shared" si="7"/>
        <v>98.027516687099848</v>
      </c>
    </row>
    <row r="229" spans="1:4" x14ac:dyDescent="0.25">
      <c r="A229" s="2">
        <v>44196</v>
      </c>
      <c r="B229" s="8">
        <v>328104.54545454547</v>
      </c>
      <c r="C229" s="11">
        <f t="shared" si="6"/>
        <v>100.30710652844557</v>
      </c>
      <c r="D229" s="11">
        <f t="shared" si="7"/>
        <v>96.091534764839793</v>
      </c>
    </row>
    <row r="230" spans="1:4" x14ac:dyDescent="0.25">
      <c r="A230" s="2">
        <v>44227</v>
      </c>
      <c r="B230" s="8">
        <v>326563.63636363635</v>
      </c>
      <c r="C230" s="11">
        <f t="shared" si="6"/>
        <v>99.530360334150686</v>
      </c>
      <c r="D230" s="11">
        <f t="shared" si="7"/>
        <v>95.104709962669759</v>
      </c>
    </row>
    <row r="231" spans="1:4" x14ac:dyDescent="0.25">
      <c r="A231" s="2">
        <v>44255</v>
      </c>
      <c r="B231" s="8">
        <v>325445.45454545453</v>
      </c>
      <c r="C231" s="11">
        <f t="shared" si="6"/>
        <v>99.657591448137623</v>
      </c>
      <c r="D231" s="11">
        <f t="shared" si="7"/>
        <v>93.741653355678324</v>
      </c>
    </row>
    <row r="232" spans="1:4" x14ac:dyDescent="0.25">
      <c r="A232" s="2">
        <v>44286</v>
      </c>
      <c r="B232" s="8">
        <v>325827.27272727271</v>
      </c>
      <c r="C232" s="11">
        <f t="shared" si="6"/>
        <v>100.117321712897</v>
      </c>
      <c r="D232" s="11">
        <f t="shared" si="7"/>
        <v>93.309208299705801</v>
      </c>
    </row>
    <row r="233" spans="1:4" x14ac:dyDescent="0.25">
      <c r="A233" s="2">
        <v>44316</v>
      </c>
      <c r="B233" s="8">
        <v>327495.45454545453</v>
      </c>
      <c r="C233" s="11">
        <f t="shared" si="6"/>
        <v>100.51198348260372</v>
      </c>
      <c r="D233" s="11">
        <f t="shared" si="7"/>
        <v>93.786936033948592</v>
      </c>
    </row>
    <row r="234" spans="1:4" x14ac:dyDescent="0.25">
      <c r="A234" s="2">
        <v>44347</v>
      </c>
      <c r="B234" s="8">
        <v>330340.90909090912</v>
      </c>
      <c r="C234" s="11">
        <f t="shared" si="6"/>
        <v>100.86885314161198</v>
      </c>
      <c r="D234" s="11">
        <f t="shared" si="7"/>
        <v>95.534493637606488</v>
      </c>
    </row>
    <row r="235" spans="1:4" x14ac:dyDescent="0.25">
      <c r="A235" s="2">
        <v>44377</v>
      </c>
      <c r="B235" s="8">
        <v>334631.81818181818</v>
      </c>
      <c r="C235" s="11">
        <f t="shared" si="6"/>
        <v>101.29893360853113</v>
      </c>
      <c r="D235" s="11">
        <f t="shared" si="7"/>
        <v>97.81436011904762</v>
      </c>
    </row>
    <row r="236" spans="1:4" x14ac:dyDescent="0.25">
      <c r="A236" s="2">
        <v>44408</v>
      </c>
      <c r="B236" s="8">
        <v>336690.90909090912</v>
      </c>
      <c r="C236" s="11">
        <f t="shared" si="6"/>
        <v>100.61533028158493</v>
      </c>
      <c r="D236" s="11">
        <f t="shared" si="7"/>
        <v>100.11353192409582</v>
      </c>
    </row>
    <row r="237" spans="1:4" x14ac:dyDescent="0.25">
      <c r="A237" s="2">
        <v>44439</v>
      </c>
      <c r="B237" s="8">
        <v>341345.45454545453</v>
      </c>
      <c r="C237" s="11">
        <f t="shared" si="6"/>
        <v>101.38243870828383</v>
      </c>
      <c r="D237" s="11">
        <f t="shared" si="7"/>
        <v>102.63783724680862</v>
      </c>
    </row>
    <row r="238" spans="1:4" x14ac:dyDescent="0.25">
      <c r="A238" s="2">
        <v>44469</v>
      </c>
      <c r="B238" s="8">
        <v>345845.45454545453</v>
      </c>
      <c r="C238" s="11">
        <f t="shared" si="6"/>
        <v>101.3183125599233</v>
      </c>
      <c r="D238" s="11">
        <f t="shared" si="7"/>
        <v>104.16176108205788</v>
      </c>
    </row>
    <row r="239" spans="1:4" x14ac:dyDescent="0.25">
      <c r="A239" s="2">
        <v>44500</v>
      </c>
      <c r="B239" s="8">
        <v>350386.36363636365</v>
      </c>
      <c r="C239" s="11">
        <f t="shared" si="6"/>
        <v>101.31298793470546</v>
      </c>
      <c r="D239" s="11">
        <f t="shared" si="7"/>
        <v>106.2684386114864</v>
      </c>
    </row>
    <row r="240" spans="1:4" x14ac:dyDescent="0.25">
      <c r="A240" s="2">
        <v>44530</v>
      </c>
      <c r="B240" s="8">
        <v>357177.27272727271</v>
      </c>
      <c r="C240" s="11">
        <f t="shared" si="6"/>
        <v>101.93812025685931</v>
      </c>
      <c r="D240" s="11">
        <f t="shared" si="7"/>
        <v>109.19513076345848</v>
      </c>
    </row>
    <row r="241" spans="1:4" x14ac:dyDescent="0.25">
      <c r="A241" s="2">
        <v>44561</v>
      </c>
      <c r="B241" s="8">
        <v>359986.36363636365</v>
      </c>
      <c r="C241" s="11">
        <f t="shared" si="6"/>
        <v>100.78646966746842</v>
      </c>
      <c r="D241" s="11">
        <f t="shared" si="7"/>
        <v>109.71696936951913</v>
      </c>
    </row>
    <row r="242" spans="1:4" x14ac:dyDescent="0.25">
      <c r="A242" s="2">
        <v>44592</v>
      </c>
      <c r="B242" s="8">
        <v>360681.81818181818</v>
      </c>
      <c r="C242" s="11">
        <f t="shared" si="6"/>
        <v>100.19318913595212</v>
      </c>
      <c r="D242" s="11">
        <f t="shared" si="7"/>
        <v>110.44763654584935</v>
      </c>
    </row>
    <row r="243" spans="1:4" x14ac:dyDescent="0.25">
      <c r="A243" s="2">
        <v>44620</v>
      </c>
      <c r="B243" s="8">
        <v>364022.72727272729</v>
      </c>
      <c r="C243" s="11">
        <f t="shared" si="6"/>
        <v>100.92627599243858</v>
      </c>
      <c r="D243" s="11">
        <f t="shared" si="7"/>
        <v>111.85368306377275</v>
      </c>
    </row>
    <row r="244" spans="1:4" x14ac:dyDescent="0.25">
      <c r="A244" s="2">
        <v>44651</v>
      </c>
      <c r="B244" s="8">
        <v>374086.36363636365</v>
      </c>
      <c r="C244" s="11">
        <f t="shared" si="6"/>
        <v>102.76456265218205</v>
      </c>
      <c r="D244" s="11">
        <f t="shared" si="7"/>
        <v>114.81124968611367</v>
      </c>
    </row>
    <row r="245" spans="1:4" x14ac:dyDescent="0.25">
      <c r="A245" s="2">
        <v>44681</v>
      </c>
      <c r="B245" s="8">
        <v>381318.18181818182</v>
      </c>
      <c r="C245" s="11">
        <f t="shared" si="6"/>
        <v>101.93319481403176</v>
      </c>
      <c r="D245" s="11">
        <f t="shared" si="7"/>
        <v>116.4346486418965</v>
      </c>
    </row>
    <row r="246" spans="1:4" x14ac:dyDescent="0.25">
      <c r="A246" s="2">
        <v>44712</v>
      </c>
      <c r="B246" s="8">
        <v>387072.72727272729</v>
      </c>
      <c r="C246" s="11">
        <f t="shared" si="6"/>
        <v>101.50911908451543</v>
      </c>
      <c r="D246" s="11">
        <f t="shared" si="7"/>
        <v>117.17371861025111</v>
      </c>
    </row>
    <row r="247" spans="1:4" x14ac:dyDescent="0.25">
      <c r="A247" s="2">
        <v>44742</v>
      </c>
      <c r="B247" s="8">
        <v>390213.63636363635</v>
      </c>
      <c r="C247" s="11">
        <f t="shared" si="6"/>
        <v>100.81145192352858</v>
      </c>
      <c r="D247" s="11">
        <f t="shared" si="7"/>
        <v>116.60984256781536</v>
      </c>
    </row>
    <row r="248" spans="1:4" x14ac:dyDescent="0.25">
      <c r="A248" s="2">
        <v>44773</v>
      </c>
      <c r="B248" s="8">
        <v>390995.45454545453</v>
      </c>
      <c r="C248" s="11">
        <f t="shared" si="6"/>
        <v>100.20035644809953</v>
      </c>
      <c r="D248" s="11">
        <f t="shared" si="7"/>
        <v>116.12890160924505</v>
      </c>
    </row>
    <row r="249" spans="1:4" x14ac:dyDescent="0.25">
      <c r="A249" s="2">
        <v>44804</v>
      </c>
      <c r="B249" s="8">
        <v>392477.27272727271</v>
      </c>
      <c r="C249" s="11">
        <f t="shared" si="6"/>
        <v>100.37898603796836</v>
      </c>
      <c r="D249" s="11">
        <f t="shared" si="7"/>
        <v>114.97949291573453</v>
      </c>
    </row>
    <row r="250" spans="1:4" x14ac:dyDescent="0.25">
      <c r="A250" s="2">
        <v>44834</v>
      </c>
      <c r="B250" s="8">
        <v>393509.09090909088</v>
      </c>
      <c r="C250" s="11">
        <f t="shared" si="6"/>
        <v>100.26289883606464</v>
      </c>
      <c r="D250" s="11">
        <f t="shared" si="7"/>
        <v>113.78177325657808</v>
      </c>
    </row>
    <row r="251" spans="1:4" x14ac:dyDescent="0.25">
      <c r="A251" s="2">
        <v>44865</v>
      </c>
      <c r="B251" s="8">
        <v>395627.27272727271</v>
      </c>
      <c r="C251" s="11">
        <f t="shared" si="6"/>
        <v>100.53828027537773</v>
      </c>
      <c r="D251" s="11">
        <f t="shared" si="7"/>
        <v>112.91172082765777</v>
      </c>
    </row>
    <row r="252" spans="1:4" x14ac:dyDescent="0.25">
      <c r="A252" s="2">
        <v>44895</v>
      </c>
      <c r="B252" s="8">
        <v>398377.27272727271</v>
      </c>
      <c r="C252" s="11">
        <f t="shared" si="6"/>
        <v>100.69509869252511</v>
      </c>
      <c r="D252" s="11">
        <f t="shared" si="7"/>
        <v>111.53488845620332</v>
      </c>
    </row>
    <row r="253" spans="1:4" x14ac:dyDescent="0.25">
      <c r="A253" s="2">
        <v>44926</v>
      </c>
      <c r="B253" s="8">
        <v>400072.72727272729</v>
      </c>
      <c r="C253" s="11">
        <f t="shared" si="6"/>
        <v>100.42559017833712</v>
      </c>
      <c r="D253" s="11">
        <f t="shared" si="7"/>
        <v>111.13552281020746</v>
      </c>
    </row>
    <row r="254" spans="1:4" x14ac:dyDescent="0.25">
      <c r="A254" s="2">
        <v>44957</v>
      </c>
      <c r="B254" s="8">
        <v>401959.09090909088</v>
      </c>
      <c r="C254" s="11">
        <f t="shared" si="6"/>
        <v>100.47150518087619</v>
      </c>
      <c r="D254" s="11">
        <f t="shared" si="7"/>
        <v>111.44423440453686</v>
      </c>
    </row>
    <row r="255" spans="1:4" x14ac:dyDescent="0.25">
      <c r="A255" s="2">
        <v>44985</v>
      </c>
      <c r="B255" s="8">
        <v>404759.09090909088</v>
      </c>
      <c r="C255" s="11">
        <f t="shared" si="6"/>
        <v>100.69658830048287</v>
      </c>
      <c r="D255" s="11">
        <f t="shared" si="7"/>
        <v>111.19060997689954</v>
      </c>
    </row>
    <row r="256" spans="1:4" x14ac:dyDescent="0.25">
      <c r="A256" s="2">
        <v>45016</v>
      </c>
      <c r="B256" s="8">
        <v>408972.72727272729</v>
      </c>
      <c r="C256" s="11">
        <f t="shared" si="6"/>
        <v>101.04102327984099</v>
      </c>
      <c r="D256" s="11">
        <f t="shared" si="7"/>
        <v>109.3257512241947</v>
      </c>
    </row>
    <row r="257" spans="1:4" x14ac:dyDescent="0.25">
      <c r="A257" s="2">
        <v>45046</v>
      </c>
      <c r="B257" s="8">
        <v>413072.72727272729</v>
      </c>
      <c r="C257" s="11">
        <f t="shared" si="6"/>
        <v>101.00251183675284</v>
      </c>
      <c r="D257" s="11">
        <f t="shared" si="7"/>
        <v>108.32757182024079</v>
      </c>
    </row>
    <row r="258" spans="1:4" x14ac:dyDescent="0.25">
      <c r="A258" s="2">
        <v>45077</v>
      </c>
      <c r="B258" s="8">
        <v>416781.81818181818</v>
      </c>
      <c r="C258" s="11">
        <f t="shared" si="6"/>
        <v>100.89792684537171</v>
      </c>
      <c r="D258" s="11">
        <f t="shared" si="7"/>
        <v>107.67532528535864</v>
      </c>
    </row>
    <row r="259" spans="1:4" x14ac:dyDescent="0.25">
      <c r="A259" s="2">
        <v>45107</v>
      </c>
      <c r="B259" s="8">
        <v>420863.63636363635</v>
      </c>
      <c r="C259" s="11">
        <f t="shared" si="6"/>
        <v>100.97936570256947</v>
      </c>
      <c r="D259" s="11">
        <f t="shared" si="7"/>
        <v>107.85467168334361</v>
      </c>
    </row>
    <row r="260" spans="1:4" x14ac:dyDescent="0.25">
      <c r="A260" s="2">
        <v>45138</v>
      </c>
      <c r="B260" s="8">
        <v>425481.81818181818</v>
      </c>
      <c r="C260" s="11">
        <f t="shared" ref="C260:C286" si="8">IFERROR(B260/B259*100,"")</f>
        <v>101.09731072470029</v>
      </c>
      <c r="D260" s="11">
        <f t="shared" si="7"/>
        <v>108.82014438670527</v>
      </c>
    </row>
    <row r="261" spans="1:4" x14ac:dyDescent="0.25">
      <c r="A261" s="2">
        <v>45169</v>
      </c>
      <c r="B261" s="8">
        <v>427977.27272727271</v>
      </c>
      <c r="C261" s="11">
        <f t="shared" si="8"/>
        <v>100.58650086532914</v>
      </c>
      <c r="D261" s="11">
        <f t="shared" si="7"/>
        <v>109.04510973420581</v>
      </c>
    </row>
    <row r="262" spans="1:4" x14ac:dyDescent="0.25">
      <c r="A262" s="2">
        <v>45199</v>
      </c>
      <c r="B262" s="8">
        <v>434190.90909090912</v>
      </c>
      <c r="C262" s="11">
        <f t="shared" si="8"/>
        <v>101.45186129254952</v>
      </c>
      <c r="D262" s="11">
        <f t="shared" si="7"/>
        <v>110.33821558933606</v>
      </c>
    </row>
    <row r="263" spans="1:4" x14ac:dyDescent="0.25">
      <c r="A263" s="2">
        <v>45230</v>
      </c>
      <c r="B263" s="8">
        <v>445904.54545454547</v>
      </c>
      <c r="C263" s="11">
        <f t="shared" si="8"/>
        <v>102.69780783484433</v>
      </c>
      <c r="D263" s="11">
        <f t="shared" si="7"/>
        <v>112.70824237689285</v>
      </c>
    </row>
    <row r="264" spans="1:4" x14ac:dyDescent="0.25">
      <c r="A264" s="2">
        <v>45260</v>
      </c>
      <c r="B264" s="8">
        <v>450081.81818181818</v>
      </c>
      <c r="C264" s="11">
        <f t="shared" si="8"/>
        <v>100.93680873403399</v>
      </c>
      <c r="D264" s="11">
        <f t="shared" si="7"/>
        <v>112.97878895062927</v>
      </c>
    </row>
    <row r="265" spans="1:4" x14ac:dyDescent="0.25">
      <c r="A265" s="2">
        <v>45291</v>
      </c>
      <c r="B265" s="8">
        <v>453418.18181818182</v>
      </c>
      <c r="C265" s="11">
        <f t="shared" si="8"/>
        <v>100.74127936334808</v>
      </c>
      <c r="D265" s="11">
        <f t="shared" si="7"/>
        <v>113.33393928376658</v>
      </c>
    </row>
    <row r="266" spans="1:4" x14ac:dyDescent="0.25">
      <c r="A266" s="2">
        <v>45322</v>
      </c>
      <c r="B266" s="8">
        <v>455672.72727272729</v>
      </c>
      <c r="C266" s="11">
        <f t="shared" si="8"/>
        <v>100.49723313818271</v>
      </c>
      <c r="D266" s="11">
        <f t="shared" si="7"/>
        <v>113.36296095260714</v>
      </c>
    </row>
    <row r="267" spans="1:4" x14ac:dyDescent="0.25">
      <c r="A267" s="2">
        <v>45351</v>
      </c>
      <c r="B267" s="8">
        <v>458131.81818181818</v>
      </c>
      <c r="C267" s="11">
        <f t="shared" si="8"/>
        <v>100.53966163913495</v>
      </c>
      <c r="D267" s="11">
        <f t="shared" si="7"/>
        <v>113.18629487798579</v>
      </c>
    </row>
    <row r="268" spans="1:4" x14ac:dyDescent="0.25">
      <c r="A268" s="2">
        <v>45382</v>
      </c>
      <c r="B268" s="8">
        <v>458227.27272727271</v>
      </c>
      <c r="C268" s="11">
        <f t="shared" si="8"/>
        <v>100.02083560706029</v>
      </c>
      <c r="D268" s="11">
        <f t="shared" si="7"/>
        <v>112.04347922733233</v>
      </c>
    </row>
    <row r="269" spans="1:4" x14ac:dyDescent="0.25">
      <c r="A269" s="2">
        <v>45412</v>
      </c>
      <c r="B269" s="8">
        <v>458186.36363636365</v>
      </c>
      <c r="C269" s="11">
        <f t="shared" si="8"/>
        <v>99.991072314254552</v>
      </c>
      <c r="D269" s="11">
        <f t="shared" si="7"/>
        <v>110.92147541705179</v>
      </c>
    </row>
    <row r="270" spans="1:4" x14ac:dyDescent="0.25">
      <c r="A270" s="2">
        <v>45443</v>
      </c>
      <c r="B270" s="8">
        <v>458804.54545454547</v>
      </c>
      <c r="C270" s="11">
        <f t="shared" si="8"/>
        <v>100.13491929643554</v>
      </c>
      <c r="D270" s="11">
        <f t="shared" si="7"/>
        <v>110.0826680626445</v>
      </c>
    </row>
    <row r="271" spans="1:4" x14ac:dyDescent="0.25">
      <c r="A271" s="2">
        <v>45473</v>
      </c>
      <c r="B271" s="8">
        <v>459722.72727272729</v>
      </c>
      <c r="C271" s="11">
        <f t="shared" si="8"/>
        <v>100.2001248303397</v>
      </c>
      <c r="D271" s="11">
        <f t="shared" ref="D271:D285" si="9">IFERROR(B271/B259*100,"")</f>
        <v>109.23317852899881</v>
      </c>
    </row>
    <row r="272" spans="1:4" x14ac:dyDescent="0.25">
      <c r="A272" s="2">
        <v>45504</v>
      </c>
      <c r="B272" s="8">
        <v>461568.18181818182</v>
      </c>
      <c r="C272" s="11">
        <f t="shared" si="8"/>
        <v>100.40142773806346</v>
      </c>
      <c r="D272" s="11">
        <f t="shared" si="9"/>
        <v>108.48129393414952</v>
      </c>
    </row>
    <row r="273" spans="1:4" x14ac:dyDescent="0.25">
      <c r="A273" s="2">
        <v>45535</v>
      </c>
      <c r="B273" s="8">
        <v>463113.63636363635</v>
      </c>
      <c r="C273" s="11">
        <f t="shared" si="8"/>
        <v>100.33482692402383</v>
      </c>
      <c r="D273" s="11">
        <f t="shared" si="9"/>
        <v>108.20986670914981</v>
      </c>
    </row>
    <row r="274" spans="1:4" x14ac:dyDescent="0.25">
      <c r="A274" s="2">
        <v>45565</v>
      </c>
      <c r="B274" s="8">
        <v>466700</v>
      </c>
      <c r="C274" s="11">
        <f t="shared" si="8"/>
        <v>100.77440251263681</v>
      </c>
      <c r="D274" s="11">
        <f t="shared" si="9"/>
        <v>107.48728041707669</v>
      </c>
    </row>
    <row r="275" spans="1:4" x14ac:dyDescent="0.25">
      <c r="A275" s="2">
        <v>45596</v>
      </c>
      <c r="B275" s="8">
        <v>470790.90909090912</v>
      </c>
      <c r="C275" s="11">
        <f t="shared" si="8"/>
        <v>100.87656076514016</v>
      </c>
      <c r="D275" s="11">
        <f t="shared" si="9"/>
        <v>105.58109664726449</v>
      </c>
    </row>
    <row r="276" spans="1:4" x14ac:dyDescent="0.25">
      <c r="A276" s="2">
        <v>45626</v>
      </c>
      <c r="B276" s="8">
        <v>471868.18181818182</v>
      </c>
      <c r="C276" s="11">
        <f t="shared" si="8"/>
        <v>100.2288219051113</v>
      </c>
      <c r="D276" s="11">
        <f t="shared" si="9"/>
        <v>104.84053404431518</v>
      </c>
    </row>
    <row r="277" spans="1:4" x14ac:dyDescent="0.25">
      <c r="A277" s="2">
        <v>45657</v>
      </c>
      <c r="B277" s="8">
        <v>471481.81818181818</v>
      </c>
      <c r="C277" s="11">
        <f t="shared" si="8"/>
        <v>99.918120430397551</v>
      </c>
      <c r="D277" s="11">
        <f t="shared" si="9"/>
        <v>103.98388002245569</v>
      </c>
    </row>
    <row r="278" spans="1:4" x14ac:dyDescent="0.25">
      <c r="A278" s="2">
        <v>45688</v>
      </c>
      <c r="B278" s="8">
        <v>466481.81818181818</v>
      </c>
      <c r="C278" s="11">
        <f t="shared" si="8"/>
        <v>98.939513718836167</v>
      </c>
      <c r="D278" s="11">
        <f t="shared" si="9"/>
        <v>102.3721171494693</v>
      </c>
    </row>
    <row r="279" spans="1:4" x14ac:dyDescent="0.25">
      <c r="A279" s="2">
        <v>45716</v>
      </c>
      <c r="B279" s="8">
        <v>464418.18181818182</v>
      </c>
      <c r="C279" s="11">
        <f t="shared" si="8"/>
        <v>99.557616978153689</v>
      </c>
      <c r="D279" s="11">
        <f t="shared" si="9"/>
        <v>101.3721735506851</v>
      </c>
    </row>
    <row r="280" spans="1:4" x14ac:dyDescent="0.25">
      <c r="A280" s="2">
        <v>45747</v>
      </c>
      <c r="B280" s="8">
        <v>461972.72727272729</v>
      </c>
      <c r="C280" s="11">
        <f t="shared" si="8"/>
        <v>99.473436949457778</v>
      </c>
      <c r="D280" s="11">
        <f t="shared" si="9"/>
        <v>100.81737922825118</v>
      </c>
    </row>
    <row r="281" spans="1:4" x14ac:dyDescent="0.25">
      <c r="A281" s="2">
        <v>45777</v>
      </c>
      <c r="B281" s="8">
        <v>461390.90909090912</v>
      </c>
      <c r="C281" s="11">
        <f t="shared" si="8"/>
        <v>99.874057894011841</v>
      </c>
      <c r="D281" s="11">
        <f t="shared" si="9"/>
        <v>100.69939782343428</v>
      </c>
    </row>
    <row r="282" spans="1:4" x14ac:dyDescent="0.25">
      <c r="A282" s="2">
        <v>45808</v>
      </c>
      <c r="B282" s="8">
        <v>460136.36363636365</v>
      </c>
      <c r="C282" s="11">
        <f t="shared" si="8"/>
        <v>99.728094890942415</v>
      </c>
      <c r="D282" s="11">
        <f t="shared" si="9"/>
        <v>100.29028007569079</v>
      </c>
    </row>
    <row r="283" spans="1:4" x14ac:dyDescent="0.25">
      <c r="A283" s="2">
        <v>45838</v>
      </c>
      <c r="B283" s="8">
        <v>460218.18181818182</v>
      </c>
      <c r="C283" s="11">
        <f t="shared" si="8"/>
        <v>100.0177812901314</v>
      </c>
      <c r="D283" s="11">
        <f t="shared" si="9"/>
        <v>100.10777247154905</v>
      </c>
    </row>
    <row r="284" spans="1:4" x14ac:dyDescent="0.25">
      <c r="A284" s="2">
        <v>45869</v>
      </c>
      <c r="B284" s="8">
        <v>460736.36363636365</v>
      </c>
      <c r="C284" s="11">
        <f t="shared" si="8"/>
        <v>100.11259481668773</v>
      </c>
      <c r="D284" s="11">
        <f t="shared" si="9"/>
        <v>99.819784332069531</v>
      </c>
    </row>
    <row r="285" spans="1:4" x14ac:dyDescent="0.25">
      <c r="A285" s="2">
        <v>45900</v>
      </c>
      <c r="B285" s="8">
        <v>460418.18181818182</v>
      </c>
      <c r="C285" s="11">
        <f t="shared" si="8"/>
        <v>99.930940589175435</v>
      </c>
      <c r="D285" s="11">
        <f t="shared" si="9"/>
        <v>99.417971242086665</v>
      </c>
    </row>
    <row r="286" spans="1:4" x14ac:dyDescent="0.25">
      <c r="A286" s="2">
        <v>45930</v>
      </c>
      <c r="B286" s="8">
        <v>464200</v>
      </c>
      <c r="C286" s="11">
        <f t="shared" si="8"/>
        <v>100.82138767128697</v>
      </c>
      <c r="D286" s="11">
        <f>IFERROR(B286/B274*100,"")</f>
        <v>99.464323976858793</v>
      </c>
    </row>
    <row r="287" spans="1:4" x14ac:dyDescent="0.25">
      <c r="A287" s="2"/>
      <c r="B287" s="8"/>
      <c r="C287" s="11"/>
      <c r="D287" s="11"/>
    </row>
    <row r="288" spans="1:4" x14ac:dyDescent="0.25">
      <c r="A288" s="2"/>
      <c r="B288" s="8"/>
      <c r="C288" s="11"/>
      <c r="D288" s="11"/>
    </row>
    <row r="289" spans="1:4" x14ac:dyDescent="0.25">
      <c r="A289" s="2"/>
      <c r="B289" s="8"/>
      <c r="C289" s="11"/>
      <c r="D289" s="11"/>
    </row>
    <row r="290" spans="1:4" x14ac:dyDescent="0.25">
      <c r="A290" s="2"/>
      <c r="B290" s="8"/>
      <c r="C290" s="11"/>
      <c r="D290" s="11"/>
    </row>
    <row r="291" spans="1:4" x14ac:dyDescent="0.25">
      <c r="A291" s="2"/>
      <c r="B291" s="8"/>
      <c r="C291" s="11"/>
      <c r="D291" s="11"/>
    </row>
    <row r="292" spans="1:4" x14ac:dyDescent="0.25">
      <c r="A292" s="2"/>
      <c r="B292" s="8"/>
      <c r="C292" s="11"/>
      <c r="D292" s="11"/>
    </row>
    <row r="293" spans="1:4" x14ac:dyDescent="0.25">
      <c r="A293" s="2"/>
      <c r="B293" s="8"/>
      <c r="C293" s="11"/>
      <c r="D293" s="11"/>
    </row>
    <row r="294" spans="1:4" x14ac:dyDescent="0.25">
      <c r="A294" s="2"/>
      <c r="B294" s="8"/>
      <c r="C294" s="11"/>
      <c r="D294" s="11"/>
    </row>
    <row r="295" spans="1:4" x14ac:dyDescent="0.25">
      <c r="A295" s="2"/>
      <c r="B295" s="8"/>
      <c r="C295" s="11"/>
      <c r="D295" s="11"/>
    </row>
    <row r="296" spans="1:4" x14ac:dyDescent="0.25">
      <c r="A296" s="2"/>
      <c r="B296" s="8"/>
      <c r="C296" s="11"/>
      <c r="D296" s="11"/>
    </row>
    <row r="297" spans="1:4" x14ac:dyDescent="0.25">
      <c r="A297" s="2"/>
      <c r="B297" s="8"/>
      <c r="C297" s="11"/>
      <c r="D297" s="11"/>
    </row>
    <row r="298" spans="1:4" x14ac:dyDescent="0.25">
      <c r="A298" s="2"/>
      <c r="B298" s="8"/>
      <c r="C298" s="11"/>
      <c r="D298" s="11"/>
    </row>
    <row r="299" spans="1:4" x14ac:dyDescent="0.25">
      <c r="A299" s="2"/>
      <c r="B299" s="8"/>
      <c r="C299" s="11"/>
      <c r="D299" s="11"/>
    </row>
    <row r="300" spans="1:4" x14ac:dyDescent="0.25">
      <c r="A300" s="2"/>
      <c r="B300" s="8"/>
      <c r="C300" s="11"/>
      <c r="D300" s="11"/>
    </row>
    <row r="301" spans="1:4" x14ac:dyDescent="0.25">
      <c r="A301" s="2"/>
      <c r="B301" s="8"/>
      <c r="C301" s="11"/>
      <c r="D301" s="11"/>
    </row>
    <row r="302" spans="1:4" x14ac:dyDescent="0.25">
      <c r="A302" s="2"/>
      <c r="B302" s="8"/>
      <c r="C302" s="11"/>
      <c r="D302" s="11"/>
    </row>
    <row r="303" spans="1:4" x14ac:dyDescent="0.25">
      <c r="A303" s="2"/>
      <c r="B303" s="8"/>
      <c r="C303" s="11"/>
      <c r="D303" s="11"/>
    </row>
    <row r="304" spans="1:4" x14ac:dyDescent="0.25">
      <c r="A304" s="2"/>
      <c r="B304" s="8"/>
      <c r="C304" s="11"/>
      <c r="D304" s="11"/>
    </row>
    <row r="305" spans="1:4" x14ac:dyDescent="0.25">
      <c r="A305" s="2"/>
      <c r="B305" s="8"/>
      <c r="C305" s="11"/>
      <c r="D305" s="11"/>
    </row>
    <row r="306" spans="1:4" x14ac:dyDescent="0.25">
      <c r="A306" s="2"/>
      <c r="B306" s="8"/>
      <c r="C306" s="11"/>
      <c r="D306" s="11"/>
    </row>
    <row r="307" spans="1:4" x14ac:dyDescent="0.25">
      <c r="A307" s="2"/>
      <c r="B307" s="8"/>
      <c r="C307" s="11"/>
      <c r="D307" s="11"/>
    </row>
    <row r="308" spans="1:4" x14ac:dyDescent="0.25">
      <c r="A308" s="2"/>
      <c r="B308" s="8"/>
      <c r="C308" s="11"/>
      <c r="D308" s="11"/>
    </row>
    <row r="309" spans="1:4" x14ac:dyDescent="0.25">
      <c r="A309" s="2"/>
      <c r="B309" s="8"/>
      <c r="C309" s="11"/>
      <c r="D309" s="11"/>
    </row>
    <row r="310" spans="1:4" x14ac:dyDescent="0.25">
      <c r="A310" s="2"/>
      <c r="B310" s="8"/>
      <c r="C310" s="11"/>
      <c r="D310" s="11"/>
    </row>
    <row r="311" spans="1:4" x14ac:dyDescent="0.25">
      <c r="A311" s="2"/>
      <c r="B311" s="8"/>
      <c r="C311" s="11"/>
      <c r="D311" s="11"/>
    </row>
    <row r="312" spans="1:4" x14ac:dyDescent="0.25">
      <c r="A312" s="2"/>
      <c r="B312" s="8"/>
      <c r="C312" s="11"/>
      <c r="D312" s="11"/>
    </row>
    <row r="313" spans="1:4" x14ac:dyDescent="0.25">
      <c r="A313" s="2"/>
      <c r="B313" s="8"/>
      <c r="C313" s="11"/>
      <c r="D313" s="11"/>
    </row>
    <row r="314" spans="1:4" x14ac:dyDescent="0.25">
      <c r="A314" s="2"/>
      <c r="B314" s="8"/>
      <c r="C314" s="11"/>
      <c r="D314" s="11"/>
    </row>
    <row r="315" spans="1:4" x14ac:dyDescent="0.25">
      <c r="A315" s="2"/>
      <c r="B315" s="8"/>
      <c r="C315" s="11"/>
      <c r="D315" s="11"/>
    </row>
    <row r="316" spans="1:4" x14ac:dyDescent="0.25">
      <c r="A316" s="2"/>
      <c r="B316" s="8"/>
      <c r="C316" s="11"/>
      <c r="D316" s="11"/>
    </row>
    <row r="317" spans="1:4" x14ac:dyDescent="0.25">
      <c r="A317" s="2"/>
      <c r="B317" s="8"/>
      <c r="C317" s="11"/>
      <c r="D317" s="11"/>
    </row>
    <row r="318" spans="1:4" x14ac:dyDescent="0.25">
      <c r="A318" s="2"/>
      <c r="B318" s="8"/>
      <c r="C318" s="11"/>
      <c r="D318" s="11"/>
    </row>
    <row r="319" spans="1:4" x14ac:dyDescent="0.25">
      <c r="A319" s="2"/>
      <c r="B319" s="8"/>
      <c r="C319" s="11"/>
      <c r="D319" s="11"/>
    </row>
    <row r="320" spans="1:4" x14ac:dyDescent="0.25">
      <c r="A320" s="2"/>
      <c r="B320" s="8"/>
      <c r="C320" s="11"/>
      <c r="D320" s="11"/>
    </row>
    <row r="321" spans="1:4" x14ac:dyDescent="0.25">
      <c r="A321" s="2"/>
      <c r="B321" s="8"/>
      <c r="C321" s="11"/>
      <c r="D321" s="11"/>
    </row>
    <row r="322" spans="1:4" x14ac:dyDescent="0.25">
      <c r="A322" s="2"/>
      <c r="B322" s="8"/>
      <c r="C322" s="11"/>
      <c r="D322" s="11"/>
    </row>
    <row r="323" spans="1:4" x14ac:dyDescent="0.25">
      <c r="A323" s="2"/>
      <c r="B323" s="8"/>
      <c r="C323" s="11"/>
      <c r="D323" s="11"/>
    </row>
    <row r="324" spans="1:4" x14ac:dyDescent="0.25">
      <c r="A324" s="2"/>
      <c r="B324" s="8"/>
      <c r="C324" s="11"/>
      <c r="D324" s="11"/>
    </row>
    <row r="325" spans="1:4" x14ac:dyDescent="0.25">
      <c r="A325" s="2"/>
      <c r="B325" s="8"/>
      <c r="C325" s="11"/>
      <c r="D325" s="11"/>
    </row>
    <row r="326" spans="1:4" x14ac:dyDescent="0.25">
      <c r="A326" s="2"/>
      <c r="B326" s="8"/>
      <c r="C326" s="11"/>
      <c r="D326" s="11"/>
    </row>
    <row r="327" spans="1:4" x14ac:dyDescent="0.25">
      <c r="A327" s="2"/>
      <c r="B327" s="8"/>
      <c r="C327" s="11"/>
      <c r="D327" s="11"/>
    </row>
    <row r="328" spans="1:4" x14ac:dyDescent="0.25">
      <c r="A328" s="2"/>
      <c r="B328" s="8"/>
      <c r="C328" s="11"/>
      <c r="D328" s="1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2EE4-6529-4C24-BA13-F161B0F27E8A}">
  <dimension ref="A1:Q286"/>
  <sheetViews>
    <sheetView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1" max="1" width="13.85546875" customWidth="1"/>
    <col min="2" max="13" width="15.42578125" customWidth="1"/>
    <col min="14" max="14" width="13.5703125" customWidth="1"/>
    <col min="15" max="15" width="10.7109375" bestFit="1" customWidth="1"/>
    <col min="257" max="257" width="13.85546875" customWidth="1"/>
    <col min="258" max="269" width="15.42578125" customWidth="1"/>
    <col min="270" max="270" width="13.5703125" customWidth="1"/>
    <col min="271" max="271" width="10.7109375" bestFit="1" customWidth="1"/>
    <col min="513" max="513" width="13.85546875" customWidth="1"/>
    <col min="514" max="525" width="15.42578125" customWidth="1"/>
    <col min="526" max="526" width="13.5703125" customWidth="1"/>
    <col min="527" max="527" width="10.7109375" bestFit="1" customWidth="1"/>
    <col min="769" max="769" width="13.85546875" customWidth="1"/>
    <col min="770" max="781" width="15.42578125" customWidth="1"/>
    <col min="782" max="782" width="13.5703125" customWidth="1"/>
    <col min="783" max="783" width="10.7109375" bestFit="1" customWidth="1"/>
    <col min="1025" max="1025" width="13.85546875" customWidth="1"/>
    <col min="1026" max="1037" width="15.42578125" customWidth="1"/>
    <col min="1038" max="1038" width="13.5703125" customWidth="1"/>
    <col min="1039" max="1039" width="10.7109375" bestFit="1" customWidth="1"/>
    <col min="1281" max="1281" width="13.85546875" customWidth="1"/>
    <col min="1282" max="1293" width="15.42578125" customWidth="1"/>
    <col min="1294" max="1294" width="13.5703125" customWidth="1"/>
    <col min="1295" max="1295" width="10.7109375" bestFit="1" customWidth="1"/>
    <col min="1537" max="1537" width="13.85546875" customWidth="1"/>
    <col min="1538" max="1549" width="15.42578125" customWidth="1"/>
    <col min="1550" max="1550" width="13.5703125" customWidth="1"/>
    <col min="1551" max="1551" width="10.7109375" bestFit="1" customWidth="1"/>
    <col min="1793" max="1793" width="13.85546875" customWidth="1"/>
    <col min="1794" max="1805" width="15.42578125" customWidth="1"/>
    <col min="1806" max="1806" width="13.5703125" customWidth="1"/>
    <col min="1807" max="1807" width="10.7109375" bestFit="1" customWidth="1"/>
    <col min="2049" max="2049" width="13.85546875" customWidth="1"/>
    <col min="2050" max="2061" width="15.42578125" customWidth="1"/>
    <col min="2062" max="2062" width="13.5703125" customWidth="1"/>
    <col min="2063" max="2063" width="10.7109375" bestFit="1" customWidth="1"/>
    <col min="2305" max="2305" width="13.85546875" customWidth="1"/>
    <col min="2306" max="2317" width="15.42578125" customWidth="1"/>
    <col min="2318" max="2318" width="13.5703125" customWidth="1"/>
    <col min="2319" max="2319" width="10.7109375" bestFit="1" customWidth="1"/>
    <col min="2561" max="2561" width="13.85546875" customWidth="1"/>
    <col min="2562" max="2573" width="15.42578125" customWidth="1"/>
    <col min="2574" max="2574" width="13.5703125" customWidth="1"/>
    <col min="2575" max="2575" width="10.7109375" bestFit="1" customWidth="1"/>
    <col min="2817" max="2817" width="13.85546875" customWidth="1"/>
    <col min="2818" max="2829" width="15.42578125" customWidth="1"/>
    <col min="2830" max="2830" width="13.5703125" customWidth="1"/>
    <col min="2831" max="2831" width="10.7109375" bestFit="1" customWidth="1"/>
    <col min="3073" max="3073" width="13.85546875" customWidth="1"/>
    <col min="3074" max="3085" width="15.42578125" customWidth="1"/>
    <col min="3086" max="3086" width="13.5703125" customWidth="1"/>
    <col min="3087" max="3087" width="10.7109375" bestFit="1" customWidth="1"/>
    <col min="3329" max="3329" width="13.85546875" customWidth="1"/>
    <col min="3330" max="3341" width="15.42578125" customWidth="1"/>
    <col min="3342" max="3342" width="13.5703125" customWidth="1"/>
    <col min="3343" max="3343" width="10.7109375" bestFit="1" customWidth="1"/>
    <col min="3585" max="3585" width="13.85546875" customWidth="1"/>
    <col min="3586" max="3597" width="15.42578125" customWidth="1"/>
    <col min="3598" max="3598" width="13.5703125" customWidth="1"/>
    <col min="3599" max="3599" width="10.7109375" bestFit="1" customWidth="1"/>
    <col min="3841" max="3841" width="13.85546875" customWidth="1"/>
    <col min="3842" max="3853" width="15.42578125" customWidth="1"/>
    <col min="3854" max="3854" width="13.5703125" customWidth="1"/>
    <col min="3855" max="3855" width="10.7109375" bestFit="1" customWidth="1"/>
    <col min="4097" max="4097" width="13.85546875" customWidth="1"/>
    <col min="4098" max="4109" width="15.42578125" customWidth="1"/>
    <col min="4110" max="4110" width="13.5703125" customWidth="1"/>
    <col min="4111" max="4111" width="10.7109375" bestFit="1" customWidth="1"/>
    <col min="4353" max="4353" width="13.85546875" customWidth="1"/>
    <col min="4354" max="4365" width="15.42578125" customWidth="1"/>
    <col min="4366" max="4366" width="13.5703125" customWidth="1"/>
    <col min="4367" max="4367" width="10.7109375" bestFit="1" customWidth="1"/>
    <col min="4609" max="4609" width="13.85546875" customWidth="1"/>
    <col min="4610" max="4621" width="15.42578125" customWidth="1"/>
    <col min="4622" max="4622" width="13.5703125" customWidth="1"/>
    <col min="4623" max="4623" width="10.7109375" bestFit="1" customWidth="1"/>
    <col min="4865" max="4865" width="13.85546875" customWidth="1"/>
    <col min="4866" max="4877" width="15.42578125" customWidth="1"/>
    <col min="4878" max="4878" width="13.5703125" customWidth="1"/>
    <col min="4879" max="4879" width="10.7109375" bestFit="1" customWidth="1"/>
    <col min="5121" max="5121" width="13.85546875" customWidth="1"/>
    <col min="5122" max="5133" width="15.42578125" customWidth="1"/>
    <col min="5134" max="5134" width="13.5703125" customWidth="1"/>
    <col min="5135" max="5135" width="10.7109375" bestFit="1" customWidth="1"/>
    <col min="5377" max="5377" width="13.85546875" customWidth="1"/>
    <col min="5378" max="5389" width="15.42578125" customWidth="1"/>
    <col min="5390" max="5390" width="13.5703125" customWidth="1"/>
    <col min="5391" max="5391" width="10.7109375" bestFit="1" customWidth="1"/>
    <col min="5633" max="5633" width="13.85546875" customWidth="1"/>
    <col min="5634" max="5645" width="15.42578125" customWidth="1"/>
    <col min="5646" max="5646" width="13.5703125" customWidth="1"/>
    <col min="5647" max="5647" width="10.7109375" bestFit="1" customWidth="1"/>
    <col min="5889" max="5889" width="13.85546875" customWidth="1"/>
    <col min="5890" max="5901" width="15.42578125" customWidth="1"/>
    <col min="5902" max="5902" width="13.5703125" customWidth="1"/>
    <col min="5903" max="5903" width="10.7109375" bestFit="1" customWidth="1"/>
    <col min="6145" max="6145" width="13.85546875" customWidth="1"/>
    <col min="6146" max="6157" width="15.42578125" customWidth="1"/>
    <col min="6158" max="6158" width="13.5703125" customWidth="1"/>
    <col min="6159" max="6159" width="10.7109375" bestFit="1" customWidth="1"/>
    <col min="6401" max="6401" width="13.85546875" customWidth="1"/>
    <col min="6402" max="6413" width="15.42578125" customWidth="1"/>
    <col min="6414" max="6414" width="13.5703125" customWidth="1"/>
    <col min="6415" max="6415" width="10.7109375" bestFit="1" customWidth="1"/>
    <col min="6657" max="6657" width="13.85546875" customWidth="1"/>
    <col min="6658" max="6669" width="15.42578125" customWidth="1"/>
    <col min="6670" max="6670" width="13.5703125" customWidth="1"/>
    <col min="6671" max="6671" width="10.7109375" bestFit="1" customWidth="1"/>
    <col min="6913" max="6913" width="13.85546875" customWidth="1"/>
    <col min="6914" max="6925" width="15.42578125" customWidth="1"/>
    <col min="6926" max="6926" width="13.5703125" customWidth="1"/>
    <col min="6927" max="6927" width="10.7109375" bestFit="1" customWidth="1"/>
    <col min="7169" max="7169" width="13.85546875" customWidth="1"/>
    <col min="7170" max="7181" width="15.42578125" customWidth="1"/>
    <col min="7182" max="7182" width="13.5703125" customWidth="1"/>
    <col min="7183" max="7183" width="10.7109375" bestFit="1" customWidth="1"/>
    <col min="7425" max="7425" width="13.85546875" customWidth="1"/>
    <col min="7426" max="7437" width="15.42578125" customWidth="1"/>
    <col min="7438" max="7438" width="13.5703125" customWidth="1"/>
    <col min="7439" max="7439" width="10.7109375" bestFit="1" customWidth="1"/>
    <col min="7681" max="7681" width="13.85546875" customWidth="1"/>
    <col min="7682" max="7693" width="15.42578125" customWidth="1"/>
    <col min="7694" max="7694" width="13.5703125" customWidth="1"/>
    <col min="7695" max="7695" width="10.7109375" bestFit="1" customWidth="1"/>
    <col min="7937" max="7937" width="13.85546875" customWidth="1"/>
    <col min="7938" max="7949" width="15.42578125" customWidth="1"/>
    <col min="7950" max="7950" width="13.5703125" customWidth="1"/>
    <col min="7951" max="7951" width="10.7109375" bestFit="1" customWidth="1"/>
    <col min="8193" max="8193" width="13.85546875" customWidth="1"/>
    <col min="8194" max="8205" width="15.42578125" customWidth="1"/>
    <col min="8206" max="8206" width="13.5703125" customWidth="1"/>
    <col min="8207" max="8207" width="10.7109375" bestFit="1" customWidth="1"/>
    <col min="8449" max="8449" width="13.85546875" customWidth="1"/>
    <col min="8450" max="8461" width="15.42578125" customWidth="1"/>
    <col min="8462" max="8462" width="13.5703125" customWidth="1"/>
    <col min="8463" max="8463" width="10.7109375" bestFit="1" customWidth="1"/>
    <col min="8705" max="8705" width="13.85546875" customWidth="1"/>
    <col min="8706" max="8717" width="15.42578125" customWidth="1"/>
    <col min="8718" max="8718" width="13.5703125" customWidth="1"/>
    <col min="8719" max="8719" width="10.7109375" bestFit="1" customWidth="1"/>
    <col min="8961" max="8961" width="13.85546875" customWidth="1"/>
    <col min="8962" max="8973" width="15.42578125" customWidth="1"/>
    <col min="8974" max="8974" width="13.5703125" customWidth="1"/>
    <col min="8975" max="8975" width="10.7109375" bestFit="1" customWidth="1"/>
    <col min="9217" max="9217" width="13.85546875" customWidth="1"/>
    <col min="9218" max="9229" width="15.42578125" customWidth="1"/>
    <col min="9230" max="9230" width="13.5703125" customWidth="1"/>
    <col min="9231" max="9231" width="10.7109375" bestFit="1" customWidth="1"/>
    <col min="9473" max="9473" width="13.85546875" customWidth="1"/>
    <col min="9474" max="9485" width="15.42578125" customWidth="1"/>
    <col min="9486" max="9486" width="13.5703125" customWidth="1"/>
    <col min="9487" max="9487" width="10.7109375" bestFit="1" customWidth="1"/>
    <col min="9729" max="9729" width="13.85546875" customWidth="1"/>
    <col min="9730" max="9741" width="15.42578125" customWidth="1"/>
    <col min="9742" max="9742" width="13.5703125" customWidth="1"/>
    <col min="9743" max="9743" width="10.7109375" bestFit="1" customWidth="1"/>
    <col min="9985" max="9985" width="13.85546875" customWidth="1"/>
    <col min="9986" max="9997" width="15.42578125" customWidth="1"/>
    <col min="9998" max="9998" width="13.5703125" customWidth="1"/>
    <col min="9999" max="9999" width="10.7109375" bestFit="1" customWidth="1"/>
    <col min="10241" max="10241" width="13.85546875" customWidth="1"/>
    <col min="10242" max="10253" width="15.42578125" customWidth="1"/>
    <col min="10254" max="10254" width="13.5703125" customWidth="1"/>
    <col min="10255" max="10255" width="10.7109375" bestFit="1" customWidth="1"/>
    <col min="10497" max="10497" width="13.85546875" customWidth="1"/>
    <col min="10498" max="10509" width="15.42578125" customWidth="1"/>
    <col min="10510" max="10510" width="13.5703125" customWidth="1"/>
    <col min="10511" max="10511" width="10.7109375" bestFit="1" customWidth="1"/>
    <col min="10753" max="10753" width="13.85546875" customWidth="1"/>
    <col min="10754" max="10765" width="15.42578125" customWidth="1"/>
    <col min="10766" max="10766" width="13.5703125" customWidth="1"/>
    <col min="10767" max="10767" width="10.7109375" bestFit="1" customWidth="1"/>
    <col min="11009" max="11009" width="13.85546875" customWidth="1"/>
    <col min="11010" max="11021" width="15.42578125" customWidth="1"/>
    <col min="11022" max="11022" width="13.5703125" customWidth="1"/>
    <col min="11023" max="11023" width="10.7109375" bestFit="1" customWidth="1"/>
    <col min="11265" max="11265" width="13.85546875" customWidth="1"/>
    <col min="11266" max="11277" width="15.42578125" customWidth="1"/>
    <col min="11278" max="11278" width="13.5703125" customWidth="1"/>
    <col min="11279" max="11279" width="10.7109375" bestFit="1" customWidth="1"/>
    <col min="11521" max="11521" width="13.85546875" customWidth="1"/>
    <col min="11522" max="11533" width="15.42578125" customWidth="1"/>
    <col min="11534" max="11534" width="13.5703125" customWidth="1"/>
    <col min="11535" max="11535" width="10.7109375" bestFit="1" customWidth="1"/>
    <col min="11777" max="11777" width="13.85546875" customWidth="1"/>
    <col min="11778" max="11789" width="15.42578125" customWidth="1"/>
    <col min="11790" max="11790" width="13.5703125" customWidth="1"/>
    <col min="11791" max="11791" width="10.7109375" bestFit="1" customWidth="1"/>
    <col min="12033" max="12033" width="13.85546875" customWidth="1"/>
    <col min="12034" max="12045" width="15.42578125" customWidth="1"/>
    <col min="12046" max="12046" width="13.5703125" customWidth="1"/>
    <col min="12047" max="12047" width="10.7109375" bestFit="1" customWidth="1"/>
    <col min="12289" max="12289" width="13.85546875" customWidth="1"/>
    <col min="12290" max="12301" width="15.42578125" customWidth="1"/>
    <col min="12302" max="12302" width="13.5703125" customWidth="1"/>
    <col min="12303" max="12303" width="10.7109375" bestFit="1" customWidth="1"/>
    <col min="12545" max="12545" width="13.85546875" customWidth="1"/>
    <col min="12546" max="12557" width="15.42578125" customWidth="1"/>
    <col min="12558" max="12558" width="13.5703125" customWidth="1"/>
    <col min="12559" max="12559" width="10.7109375" bestFit="1" customWidth="1"/>
    <col min="12801" max="12801" width="13.85546875" customWidth="1"/>
    <col min="12802" max="12813" width="15.42578125" customWidth="1"/>
    <col min="12814" max="12814" width="13.5703125" customWidth="1"/>
    <col min="12815" max="12815" width="10.7109375" bestFit="1" customWidth="1"/>
    <col min="13057" max="13057" width="13.85546875" customWidth="1"/>
    <col min="13058" max="13069" width="15.42578125" customWidth="1"/>
    <col min="13070" max="13070" width="13.5703125" customWidth="1"/>
    <col min="13071" max="13071" width="10.7109375" bestFit="1" customWidth="1"/>
    <col min="13313" max="13313" width="13.85546875" customWidth="1"/>
    <col min="13314" max="13325" width="15.42578125" customWidth="1"/>
    <col min="13326" max="13326" width="13.5703125" customWidth="1"/>
    <col min="13327" max="13327" width="10.7109375" bestFit="1" customWidth="1"/>
    <col min="13569" max="13569" width="13.85546875" customWidth="1"/>
    <col min="13570" max="13581" width="15.42578125" customWidth="1"/>
    <col min="13582" max="13582" width="13.5703125" customWidth="1"/>
    <col min="13583" max="13583" width="10.7109375" bestFit="1" customWidth="1"/>
    <col min="13825" max="13825" width="13.85546875" customWidth="1"/>
    <col min="13826" max="13837" width="15.42578125" customWidth="1"/>
    <col min="13838" max="13838" width="13.5703125" customWidth="1"/>
    <col min="13839" max="13839" width="10.7109375" bestFit="1" customWidth="1"/>
    <col min="14081" max="14081" width="13.85546875" customWidth="1"/>
    <col min="14082" max="14093" width="15.42578125" customWidth="1"/>
    <col min="14094" max="14094" width="13.5703125" customWidth="1"/>
    <col min="14095" max="14095" width="10.7109375" bestFit="1" customWidth="1"/>
    <col min="14337" max="14337" width="13.85546875" customWidth="1"/>
    <col min="14338" max="14349" width="15.42578125" customWidth="1"/>
    <col min="14350" max="14350" width="13.5703125" customWidth="1"/>
    <col min="14351" max="14351" width="10.7109375" bestFit="1" customWidth="1"/>
    <col min="14593" max="14593" width="13.85546875" customWidth="1"/>
    <col min="14594" max="14605" width="15.42578125" customWidth="1"/>
    <col min="14606" max="14606" width="13.5703125" customWidth="1"/>
    <col min="14607" max="14607" width="10.7109375" bestFit="1" customWidth="1"/>
    <col min="14849" max="14849" width="13.85546875" customWidth="1"/>
    <col min="14850" max="14861" width="15.42578125" customWidth="1"/>
    <col min="14862" max="14862" width="13.5703125" customWidth="1"/>
    <col min="14863" max="14863" width="10.7109375" bestFit="1" customWidth="1"/>
    <col min="15105" max="15105" width="13.85546875" customWidth="1"/>
    <col min="15106" max="15117" width="15.42578125" customWidth="1"/>
    <col min="15118" max="15118" width="13.5703125" customWidth="1"/>
    <col min="15119" max="15119" width="10.7109375" bestFit="1" customWidth="1"/>
    <col min="15361" max="15361" width="13.85546875" customWidth="1"/>
    <col min="15362" max="15373" width="15.42578125" customWidth="1"/>
    <col min="15374" max="15374" width="13.5703125" customWidth="1"/>
    <col min="15375" max="15375" width="10.7109375" bestFit="1" customWidth="1"/>
    <col min="15617" max="15617" width="13.85546875" customWidth="1"/>
    <col min="15618" max="15629" width="15.42578125" customWidth="1"/>
    <col min="15630" max="15630" width="13.5703125" customWidth="1"/>
    <col min="15631" max="15631" width="10.7109375" bestFit="1" customWidth="1"/>
    <col min="15873" max="15873" width="13.85546875" customWidth="1"/>
    <col min="15874" max="15885" width="15.42578125" customWidth="1"/>
    <col min="15886" max="15886" width="13.5703125" customWidth="1"/>
    <col min="15887" max="15887" width="10.7109375" bestFit="1" customWidth="1"/>
    <col min="16129" max="16129" width="13.85546875" customWidth="1"/>
    <col min="16130" max="16141" width="15.42578125" customWidth="1"/>
    <col min="16142" max="16142" width="13.5703125" customWidth="1"/>
    <col min="16143" max="16143" width="10.7109375" bestFit="1" customWidth="1"/>
  </cols>
  <sheetData>
    <row r="1" spans="1:14" s="14" customFormat="1" ht="51" customHeight="1" x14ac:dyDescent="0.25">
      <c r="A1" s="12"/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" t="s">
        <v>15</v>
      </c>
    </row>
    <row r="2" spans="1:14" s="18" customFormat="1" x14ac:dyDescent="0.25">
      <c r="A2" s="15">
        <v>37287</v>
      </c>
      <c r="B2" s="16">
        <v>181172.4</v>
      </c>
      <c r="C2" s="16">
        <v>123603.59999999999</v>
      </c>
      <c r="D2" s="16">
        <v>75065.2</v>
      </c>
      <c r="E2" s="16">
        <v>63212.799999999996</v>
      </c>
      <c r="F2" s="16">
        <v>68292.399999999994</v>
      </c>
      <c r="G2" s="16">
        <v>67728</v>
      </c>
      <c r="H2" s="16">
        <v>66034.8</v>
      </c>
      <c r="I2" s="16">
        <v>65978.36</v>
      </c>
      <c r="J2" s="16">
        <v>59544.2</v>
      </c>
      <c r="K2" s="16">
        <v>54182.399999999994</v>
      </c>
      <c r="L2" s="16"/>
      <c r="M2" s="16">
        <v>29348.799999999999</v>
      </c>
      <c r="N2" s="17">
        <f>IFERROR(AVERAGE(B2:M2),"")</f>
        <v>77651.178181818192</v>
      </c>
    </row>
    <row r="3" spans="1:14" s="18" customFormat="1" x14ac:dyDescent="0.25">
      <c r="A3" s="15">
        <f t="shared" ref="A3:A66" si="0">IF(B3=0,"",EOMONTH(A2,1))</f>
        <v>37315</v>
      </c>
      <c r="B3" s="16">
        <v>149616.15</v>
      </c>
      <c r="C3" s="16">
        <v>85570.35</v>
      </c>
      <c r="D3" s="16">
        <v>54661.8</v>
      </c>
      <c r="E3" s="16">
        <v>51553.350000000006</v>
      </c>
      <c r="F3" s="16">
        <v>49500.600000000006</v>
      </c>
      <c r="G3" s="16">
        <v>50263.05</v>
      </c>
      <c r="H3" s="16">
        <v>49441.95</v>
      </c>
      <c r="I3" s="16">
        <v>49617.899999999994</v>
      </c>
      <c r="J3" s="16">
        <v>49911.149999999994</v>
      </c>
      <c r="K3" s="16">
        <v>47682.45</v>
      </c>
      <c r="L3" s="16"/>
      <c r="M3" s="16">
        <v>22345.65</v>
      </c>
      <c r="N3" s="17">
        <f t="shared" ref="N3:N66" si="1">IFERROR(AVERAGE(B3:M3),"")</f>
        <v>60014.945454545457</v>
      </c>
    </row>
    <row r="4" spans="1:14" s="18" customFormat="1" x14ac:dyDescent="0.25">
      <c r="A4" s="15">
        <f t="shared" si="0"/>
        <v>37346</v>
      </c>
      <c r="B4" s="16">
        <v>151630</v>
      </c>
      <c r="C4" s="16">
        <v>97350</v>
      </c>
      <c r="D4" s="16">
        <v>56050</v>
      </c>
      <c r="E4" s="16">
        <v>52510</v>
      </c>
      <c r="F4" s="16">
        <v>50740</v>
      </c>
      <c r="G4" s="16">
        <v>51330</v>
      </c>
      <c r="H4" s="16">
        <v>51920</v>
      </c>
      <c r="I4" s="16">
        <v>44250</v>
      </c>
      <c r="J4" s="16">
        <v>50740</v>
      </c>
      <c r="K4" s="16">
        <v>48380</v>
      </c>
      <c r="L4" s="16"/>
      <c r="M4" s="16">
        <v>22420</v>
      </c>
      <c r="N4" s="17">
        <f t="shared" si="1"/>
        <v>61574.545454545456</v>
      </c>
    </row>
    <row r="5" spans="1:14" s="18" customFormat="1" x14ac:dyDescent="0.25">
      <c r="A5" s="15">
        <f t="shared" si="0"/>
        <v>37376</v>
      </c>
      <c r="B5" s="16">
        <v>148764</v>
      </c>
      <c r="C5" s="16">
        <v>92316</v>
      </c>
      <c r="D5" s="16">
        <v>55860</v>
      </c>
      <c r="E5" s="16">
        <v>52920</v>
      </c>
      <c r="F5" s="16">
        <v>49980</v>
      </c>
      <c r="G5" s="16">
        <v>51744</v>
      </c>
      <c r="H5" s="16">
        <v>52920</v>
      </c>
      <c r="I5" s="16">
        <v>48216</v>
      </c>
      <c r="J5" s="16">
        <v>49392</v>
      </c>
      <c r="K5" s="16">
        <v>48216</v>
      </c>
      <c r="L5" s="16"/>
      <c r="M5" s="16">
        <v>22932</v>
      </c>
      <c r="N5" s="17">
        <f t="shared" si="1"/>
        <v>61205.454545454544</v>
      </c>
    </row>
    <row r="6" spans="1:14" s="18" customFormat="1" x14ac:dyDescent="0.25">
      <c r="A6" s="15">
        <f t="shared" si="0"/>
        <v>37407</v>
      </c>
      <c r="B6" s="16">
        <v>150272</v>
      </c>
      <c r="C6" s="16">
        <v>94507</v>
      </c>
      <c r="D6" s="16">
        <v>55765</v>
      </c>
      <c r="E6" s="16">
        <v>55765</v>
      </c>
      <c r="F6" s="16">
        <v>50482</v>
      </c>
      <c r="G6" s="16">
        <v>51656</v>
      </c>
      <c r="H6" s="16">
        <v>54004</v>
      </c>
      <c r="I6" s="16">
        <v>48134</v>
      </c>
      <c r="J6" s="16">
        <v>50482</v>
      </c>
      <c r="K6" s="16">
        <v>49895</v>
      </c>
      <c r="L6" s="16"/>
      <c r="M6" s="16">
        <v>23480</v>
      </c>
      <c r="N6" s="17">
        <f t="shared" si="1"/>
        <v>62222</v>
      </c>
    </row>
    <row r="7" spans="1:14" s="18" customFormat="1" x14ac:dyDescent="0.25">
      <c r="A7" s="15">
        <f t="shared" si="0"/>
        <v>37437</v>
      </c>
      <c r="B7" s="16">
        <v>153270</v>
      </c>
      <c r="C7" s="16">
        <v>94185</v>
      </c>
      <c r="D7" s="16">
        <v>56160</v>
      </c>
      <c r="E7" s="16">
        <v>56745</v>
      </c>
      <c r="F7" s="16">
        <v>50310</v>
      </c>
      <c r="G7" s="16">
        <v>54405</v>
      </c>
      <c r="H7" s="16">
        <v>55575</v>
      </c>
      <c r="I7" s="16">
        <v>49725</v>
      </c>
      <c r="J7" s="16">
        <v>50895</v>
      </c>
      <c r="K7" s="16">
        <v>51480</v>
      </c>
      <c r="L7" s="16"/>
      <c r="M7" s="16">
        <v>23985</v>
      </c>
      <c r="N7" s="17">
        <f t="shared" si="1"/>
        <v>63339.545454545456</v>
      </c>
    </row>
    <row r="8" spans="1:14" s="18" customFormat="1" x14ac:dyDescent="0.25">
      <c r="A8" s="15">
        <f t="shared" si="0"/>
        <v>37468</v>
      </c>
      <c r="B8" s="16">
        <v>158203.5</v>
      </c>
      <c r="C8" s="16">
        <v>99674</v>
      </c>
      <c r="D8" s="16">
        <v>60268</v>
      </c>
      <c r="E8" s="16">
        <v>57370.5</v>
      </c>
      <c r="F8" s="16">
        <v>53893.5</v>
      </c>
      <c r="G8" s="16">
        <v>57370.5</v>
      </c>
      <c r="H8" s="16">
        <v>60268</v>
      </c>
      <c r="I8" s="16">
        <v>53893.5</v>
      </c>
      <c r="J8" s="16">
        <v>53314</v>
      </c>
      <c r="K8" s="16">
        <v>50996</v>
      </c>
      <c r="L8" s="16"/>
      <c r="M8" s="16">
        <v>27816</v>
      </c>
      <c r="N8" s="17">
        <f t="shared" si="1"/>
        <v>66642.5</v>
      </c>
    </row>
    <row r="9" spans="1:14" s="18" customFormat="1" x14ac:dyDescent="0.25">
      <c r="A9" s="15">
        <f t="shared" si="0"/>
        <v>37499</v>
      </c>
      <c r="B9" s="16">
        <v>165926.18</v>
      </c>
      <c r="C9" s="16">
        <v>104643.34</v>
      </c>
      <c r="D9" s="16">
        <v>65329.82</v>
      </c>
      <c r="E9" s="16">
        <v>60704.7</v>
      </c>
      <c r="F9" s="16">
        <v>62150.049999999996</v>
      </c>
      <c r="G9" s="16">
        <v>63306.33</v>
      </c>
      <c r="H9" s="16">
        <v>60415.63</v>
      </c>
      <c r="I9" s="16">
        <v>58103.07</v>
      </c>
      <c r="J9" s="16">
        <v>59837.49</v>
      </c>
      <c r="K9" s="16">
        <v>50876.32</v>
      </c>
      <c r="L9" s="16"/>
      <c r="M9" s="16">
        <v>28039.79</v>
      </c>
      <c r="N9" s="17">
        <f t="shared" si="1"/>
        <v>70848.429090909092</v>
      </c>
    </row>
    <row r="10" spans="1:14" s="18" customFormat="1" x14ac:dyDescent="0.25">
      <c r="A10" s="15">
        <f t="shared" si="0"/>
        <v>37529</v>
      </c>
      <c r="B10" s="16">
        <v>169625</v>
      </c>
      <c r="C10" s="16">
        <v>108100</v>
      </c>
      <c r="D10" s="16">
        <v>69000</v>
      </c>
      <c r="E10" s="16">
        <v>61525</v>
      </c>
      <c r="F10" s="16">
        <v>65262.5</v>
      </c>
      <c r="G10" s="16">
        <v>63250</v>
      </c>
      <c r="H10" s="16">
        <v>60375</v>
      </c>
      <c r="I10" s="16">
        <v>60202.5</v>
      </c>
      <c r="J10" s="16">
        <v>59800</v>
      </c>
      <c r="K10" s="16">
        <v>51175</v>
      </c>
      <c r="L10" s="16"/>
      <c r="M10" s="16">
        <v>28175</v>
      </c>
      <c r="N10" s="17">
        <f t="shared" si="1"/>
        <v>72408.181818181823</v>
      </c>
    </row>
    <row r="11" spans="1:14" s="18" customFormat="1" x14ac:dyDescent="0.25">
      <c r="A11" s="15">
        <f t="shared" si="0"/>
        <v>37560</v>
      </c>
      <c r="B11" s="16">
        <v>170892</v>
      </c>
      <c r="C11" s="16">
        <v>112236</v>
      </c>
      <c r="D11" s="16">
        <v>73320</v>
      </c>
      <c r="E11" s="16">
        <v>61758</v>
      </c>
      <c r="F11" s="16">
        <v>65988</v>
      </c>
      <c r="G11" s="16">
        <v>62152.800000000003</v>
      </c>
      <c r="H11" s="16">
        <v>59502</v>
      </c>
      <c r="I11" s="16">
        <v>61476</v>
      </c>
      <c r="J11" s="16">
        <v>58656</v>
      </c>
      <c r="K11" s="16">
        <v>53354.399999999994</v>
      </c>
      <c r="L11" s="16"/>
      <c r="M11" s="16">
        <v>27918</v>
      </c>
      <c r="N11" s="17">
        <f t="shared" si="1"/>
        <v>73386.654545454556</v>
      </c>
    </row>
    <row r="12" spans="1:14" s="18" customFormat="1" x14ac:dyDescent="0.25">
      <c r="A12" s="15">
        <f t="shared" si="0"/>
        <v>37590</v>
      </c>
      <c r="B12" s="16">
        <v>174964</v>
      </c>
      <c r="C12" s="16">
        <v>115702</v>
      </c>
      <c r="D12" s="16">
        <v>74500.800000000003</v>
      </c>
      <c r="E12" s="16">
        <v>62366.2</v>
      </c>
      <c r="F12" s="16">
        <v>66599.199999999997</v>
      </c>
      <c r="G12" s="16">
        <v>64341.599999999999</v>
      </c>
      <c r="H12" s="16">
        <v>59826.399999999994</v>
      </c>
      <c r="I12" s="16">
        <v>63777.2</v>
      </c>
      <c r="J12" s="16">
        <v>58979.799999999996</v>
      </c>
      <c r="K12" s="16">
        <v>53843.76</v>
      </c>
      <c r="L12" s="16"/>
      <c r="M12" s="16">
        <v>28220</v>
      </c>
      <c r="N12" s="17">
        <f t="shared" si="1"/>
        <v>74829.178181818192</v>
      </c>
    </row>
    <row r="13" spans="1:14" s="18" customFormat="1" x14ac:dyDescent="0.25">
      <c r="A13" s="15">
        <f t="shared" si="0"/>
        <v>37621</v>
      </c>
      <c r="B13" s="16">
        <v>234451.75999999998</v>
      </c>
      <c r="C13" s="16">
        <v>174851.12</v>
      </c>
      <c r="D13" s="16">
        <v>110170.87999999999</v>
      </c>
      <c r="E13" s="16">
        <v>86635.4</v>
      </c>
      <c r="F13" s="16">
        <v>94029.04</v>
      </c>
      <c r="G13" s="16">
        <v>92674.48</v>
      </c>
      <c r="H13" s="16">
        <v>111807.64</v>
      </c>
      <c r="I13" s="16">
        <v>99277.96</v>
      </c>
      <c r="J13" s="16">
        <v>90981.279999999984</v>
      </c>
      <c r="K13" s="16">
        <v>87086.92</v>
      </c>
      <c r="L13" s="16"/>
      <c r="M13" s="16">
        <v>39959.519999999997</v>
      </c>
      <c r="N13" s="17">
        <f t="shared" si="1"/>
        <v>111084.18181818182</v>
      </c>
    </row>
    <row r="14" spans="1:14" s="18" customFormat="1" x14ac:dyDescent="0.25">
      <c r="A14" s="15">
        <f t="shared" si="0"/>
        <v>37652</v>
      </c>
      <c r="B14" s="16">
        <v>197591.84999999998</v>
      </c>
      <c r="C14" s="16">
        <v>136185.29999999999</v>
      </c>
      <c r="D14" s="16">
        <v>78356.399999999994</v>
      </c>
      <c r="E14" s="16">
        <v>68503.199999999997</v>
      </c>
      <c r="F14" s="16">
        <v>71553</v>
      </c>
      <c r="G14" s="16">
        <v>71259.75</v>
      </c>
      <c r="H14" s="16">
        <v>76948.799999999988</v>
      </c>
      <c r="I14" s="16">
        <v>68561.850000000006</v>
      </c>
      <c r="J14" s="16">
        <v>69207</v>
      </c>
      <c r="K14" s="16">
        <v>63048.75</v>
      </c>
      <c r="L14" s="16"/>
      <c r="M14" s="16">
        <v>28269.300000000003</v>
      </c>
      <c r="N14" s="17">
        <f t="shared" si="1"/>
        <v>84498.654545454556</v>
      </c>
    </row>
    <row r="15" spans="1:14" s="18" customFormat="1" ht="15.75" customHeight="1" x14ac:dyDescent="0.25">
      <c r="A15" s="15">
        <f t="shared" si="0"/>
        <v>37680</v>
      </c>
      <c r="B15" s="16">
        <v>208676.7</v>
      </c>
      <c r="C15" s="16">
        <v>144572.25</v>
      </c>
      <c r="D15" s="16">
        <v>82813.799999999988</v>
      </c>
      <c r="E15" s="16">
        <v>71846.25</v>
      </c>
      <c r="F15" s="16">
        <v>74778.75</v>
      </c>
      <c r="G15" s="16">
        <v>73312.5</v>
      </c>
      <c r="H15" s="16">
        <v>80291.850000000006</v>
      </c>
      <c r="I15" s="16">
        <v>71259.75</v>
      </c>
      <c r="J15" s="16">
        <v>71904.899999999994</v>
      </c>
      <c r="K15" s="16">
        <v>65863.95</v>
      </c>
      <c r="L15" s="16"/>
      <c r="M15" s="16">
        <v>33313.199999999997</v>
      </c>
      <c r="N15" s="17">
        <f t="shared" si="1"/>
        <v>88966.718181818171</v>
      </c>
    </row>
    <row r="16" spans="1:14" s="18" customFormat="1" x14ac:dyDescent="0.25">
      <c r="A16" s="15">
        <f t="shared" si="0"/>
        <v>37711</v>
      </c>
      <c r="B16" s="16">
        <v>220676.4</v>
      </c>
      <c r="C16" s="16">
        <v>154291.19999999998</v>
      </c>
      <c r="D16" s="16">
        <v>87847.2</v>
      </c>
      <c r="E16" s="16">
        <v>75440.400000000009</v>
      </c>
      <c r="F16" s="16">
        <v>78027.599999999991</v>
      </c>
      <c r="G16" s="16">
        <v>75028.800000000003</v>
      </c>
      <c r="H16" s="16">
        <v>83966.400000000009</v>
      </c>
      <c r="I16" s="16">
        <v>74029.2</v>
      </c>
      <c r="J16" s="16">
        <v>74440.800000000003</v>
      </c>
      <c r="K16" s="16">
        <v>68913.600000000006</v>
      </c>
      <c r="L16" s="16"/>
      <c r="M16" s="16">
        <v>36220.800000000003</v>
      </c>
      <c r="N16" s="17">
        <f t="shared" si="1"/>
        <v>93534.763636363641</v>
      </c>
    </row>
    <row r="17" spans="1:14" s="18" customFormat="1" x14ac:dyDescent="0.25">
      <c r="A17" s="15">
        <f t="shared" si="0"/>
        <v>37741</v>
      </c>
      <c r="B17" s="16">
        <v>223204.80000000002</v>
      </c>
      <c r="C17" s="16">
        <v>153409.19999999998</v>
      </c>
      <c r="D17" s="16">
        <v>88552.8</v>
      </c>
      <c r="E17" s="16">
        <v>74323.199999999997</v>
      </c>
      <c r="F17" s="16">
        <v>78027.599999999991</v>
      </c>
      <c r="G17" s="16">
        <v>78204</v>
      </c>
      <c r="H17" s="16">
        <v>92374.8</v>
      </c>
      <c r="I17" s="16">
        <v>79438.8</v>
      </c>
      <c r="J17" s="16">
        <v>77439.599999999991</v>
      </c>
      <c r="K17" s="16">
        <v>70089.600000000006</v>
      </c>
      <c r="L17" s="16"/>
      <c r="M17" s="16">
        <v>33163.199999999997</v>
      </c>
      <c r="N17" s="17">
        <f t="shared" si="1"/>
        <v>95293.418181818182</v>
      </c>
    </row>
    <row r="18" spans="1:14" s="18" customFormat="1" x14ac:dyDescent="0.25">
      <c r="A18" s="15">
        <f t="shared" si="0"/>
        <v>37772</v>
      </c>
      <c r="B18" s="16">
        <v>223177.5</v>
      </c>
      <c r="C18" s="16">
        <v>157950</v>
      </c>
      <c r="D18" s="16">
        <v>94126.5</v>
      </c>
      <c r="E18" s="16">
        <v>74236.5</v>
      </c>
      <c r="F18" s="16">
        <v>80437.5</v>
      </c>
      <c r="G18" s="16">
        <v>78975</v>
      </c>
      <c r="H18" s="16">
        <v>95296.5</v>
      </c>
      <c r="I18" s="16">
        <v>78565.5</v>
      </c>
      <c r="J18" s="16">
        <v>78975</v>
      </c>
      <c r="K18" s="16">
        <v>73944</v>
      </c>
      <c r="L18" s="16"/>
      <c r="M18" s="16">
        <v>33345</v>
      </c>
      <c r="N18" s="17">
        <f t="shared" si="1"/>
        <v>97184.454545454544</v>
      </c>
    </row>
    <row r="19" spans="1:14" s="18" customFormat="1" x14ac:dyDescent="0.25">
      <c r="A19" s="15">
        <f t="shared" si="0"/>
        <v>37802</v>
      </c>
      <c r="B19" s="16">
        <v>226570.5</v>
      </c>
      <c r="C19" s="16">
        <v>160699.5</v>
      </c>
      <c r="D19" s="16">
        <v>100620</v>
      </c>
      <c r="E19" s="16">
        <v>76108.5</v>
      </c>
      <c r="F19" s="16">
        <v>84123</v>
      </c>
      <c r="G19" s="16">
        <v>80145</v>
      </c>
      <c r="H19" s="16">
        <v>95706</v>
      </c>
      <c r="I19" s="16">
        <v>81139.5</v>
      </c>
      <c r="J19" s="16">
        <v>81666</v>
      </c>
      <c r="K19" s="16">
        <v>74646</v>
      </c>
      <c r="L19" s="16"/>
      <c r="M19" s="16">
        <v>38493</v>
      </c>
      <c r="N19" s="17">
        <f t="shared" si="1"/>
        <v>99992.454545454544</v>
      </c>
    </row>
    <row r="20" spans="1:14" s="18" customFormat="1" x14ac:dyDescent="0.25">
      <c r="A20" s="15">
        <f t="shared" si="0"/>
        <v>37833</v>
      </c>
      <c r="B20" s="16">
        <v>224491.76199999999</v>
      </c>
      <c r="C20" s="16">
        <v>164365.20199999999</v>
      </c>
      <c r="D20" s="16">
        <v>102504.22200000001</v>
      </c>
      <c r="E20" s="16">
        <v>77123.876000000004</v>
      </c>
      <c r="F20" s="16">
        <v>84581.881999999998</v>
      </c>
      <c r="G20" s="16">
        <v>83945.927999999985</v>
      </c>
      <c r="H20" s="16">
        <v>99035.381999999998</v>
      </c>
      <c r="I20" s="16">
        <v>84466.254000000001</v>
      </c>
      <c r="J20" s="16">
        <v>83367.787999999986</v>
      </c>
      <c r="K20" s="16">
        <v>76372.293999999994</v>
      </c>
      <c r="L20" s="16"/>
      <c r="M20" s="16">
        <v>38215.053999999996</v>
      </c>
      <c r="N20" s="17">
        <f t="shared" si="1"/>
        <v>101679.05854545454</v>
      </c>
    </row>
    <row r="21" spans="1:14" s="18" customFormat="1" x14ac:dyDescent="0.25">
      <c r="A21" s="15">
        <f t="shared" si="0"/>
        <v>37864</v>
      </c>
      <c r="B21" s="16">
        <v>226457.43799999999</v>
      </c>
      <c r="C21" s="16">
        <v>170146.60200000001</v>
      </c>
      <c r="D21" s="16">
        <v>105105.852</v>
      </c>
      <c r="E21" s="16">
        <v>81517.740000000005</v>
      </c>
      <c r="F21" s="16">
        <v>87356.953999999998</v>
      </c>
      <c r="G21" s="16">
        <v>87183.512000000002</v>
      </c>
      <c r="H21" s="16">
        <v>102504.22200000001</v>
      </c>
      <c r="I21" s="16">
        <v>90305.467999999993</v>
      </c>
      <c r="J21" s="16">
        <v>84928.766000000003</v>
      </c>
      <c r="K21" s="16">
        <v>80361.459999999992</v>
      </c>
      <c r="L21" s="16"/>
      <c r="M21" s="16">
        <v>39602.589999999997</v>
      </c>
      <c r="N21" s="17">
        <f t="shared" si="1"/>
        <v>105042.78218181818</v>
      </c>
    </row>
    <row r="22" spans="1:14" s="18" customFormat="1" x14ac:dyDescent="0.25">
      <c r="A22" s="15">
        <f t="shared" si="0"/>
        <v>37894</v>
      </c>
      <c r="B22" s="16">
        <v>223400.40000000002</v>
      </c>
      <c r="C22" s="16">
        <v>169482</v>
      </c>
      <c r="D22" s="16">
        <v>105129.60000000001</v>
      </c>
      <c r="E22" s="16">
        <v>82964.399999999994</v>
      </c>
      <c r="F22" s="16">
        <v>88040.4</v>
      </c>
      <c r="G22" s="16">
        <v>88773.6</v>
      </c>
      <c r="H22" s="16">
        <v>104452.79999999999</v>
      </c>
      <c r="I22" s="16">
        <v>91480.799999999988</v>
      </c>
      <c r="J22" s="16">
        <v>85784.4</v>
      </c>
      <c r="K22" s="16">
        <v>82456.799999999988</v>
      </c>
      <c r="L22" s="16"/>
      <c r="M22" s="16">
        <v>38916</v>
      </c>
      <c r="N22" s="17">
        <f t="shared" si="1"/>
        <v>105534.65454545454</v>
      </c>
    </row>
    <row r="23" spans="1:14" s="18" customFormat="1" x14ac:dyDescent="0.25">
      <c r="A23" s="15">
        <f t="shared" si="0"/>
        <v>37925</v>
      </c>
      <c r="B23" s="16">
        <v>226784.40000000002</v>
      </c>
      <c r="C23" s="16">
        <v>170779.2</v>
      </c>
      <c r="D23" s="16">
        <v>108908.4</v>
      </c>
      <c r="E23" s="16">
        <v>84938.4</v>
      </c>
      <c r="F23" s="16">
        <v>89958</v>
      </c>
      <c r="G23" s="16">
        <v>91593.600000000006</v>
      </c>
      <c r="H23" s="16">
        <v>108118.79999999999</v>
      </c>
      <c r="I23" s="16">
        <v>94470</v>
      </c>
      <c r="J23" s="16">
        <v>88830</v>
      </c>
      <c r="K23" s="16">
        <v>84656.4</v>
      </c>
      <c r="L23" s="16"/>
      <c r="M23" s="16">
        <v>39536.399999999994</v>
      </c>
      <c r="N23" s="17">
        <f t="shared" si="1"/>
        <v>108052.14545454545</v>
      </c>
    </row>
    <row r="24" spans="1:14" s="18" customFormat="1" x14ac:dyDescent="0.25">
      <c r="A24" s="15">
        <f t="shared" si="0"/>
        <v>37955</v>
      </c>
      <c r="B24" s="16">
        <v>230557.4</v>
      </c>
      <c r="C24" s="16">
        <v>172932.15999999997</v>
      </c>
      <c r="D24" s="16">
        <v>109493.59999999999</v>
      </c>
      <c r="E24" s="16">
        <v>85845.239999999991</v>
      </c>
      <c r="F24" s="16">
        <v>92730.92</v>
      </c>
      <c r="G24" s="16">
        <v>92222.96</v>
      </c>
      <c r="H24" s="16">
        <v>110509.52</v>
      </c>
      <c r="I24" s="16">
        <v>97697.64</v>
      </c>
      <c r="J24" s="16">
        <v>90078.239999999991</v>
      </c>
      <c r="K24" s="16">
        <v>85958.12000000001</v>
      </c>
      <c r="L24" s="16"/>
      <c r="M24" s="16">
        <v>39790.199999999997</v>
      </c>
      <c r="N24" s="17">
        <f t="shared" si="1"/>
        <v>109801.45454545454</v>
      </c>
    </row>
    <row r="25" spans="1:14" s="18" customFormat="1" x14ac:dyDescent="0.25">
      <c r="A25" s="15">
        <f t="shared" si="0"/>
        <v>37986</v>
      </c>
      <c r="B25" s="16">
        <v>234451.75999999998</v>
      </c>
      <c r="C25" s="16">
        <v>174851.12</v>
      </c>
      <c r="D25" s="16">
        <v>110170.87999999999</v>
      </c>
      <c r="E25" s="16">
        <v>86635.4</v>
      </c>
      <c r="F25" s="16">
        <v>94029.04</v>
      </c>
      <c r="G25" s="16">
        <v>92674.48</v>
      </c>
      <c r="H25" s="16">
        <v>111807.64</v>
      </c>
      <c r="I25" s="16">
        <v>99277.96</v>
      </c>
      <c r="J25" s="16">
        <v>90981.279999999984</v>
      </c>
      <c r="K25" s="16">
        <v>87086.92</v>
      </c>
      <c r="L25" s="16"/>
      <c r="M25" s="16">
        <v>39959.519999999997</v>
      </c>
      <c r="N25" s="17">
        <f t="shared" si="1"/>
        <v>111084.18181818182</v>
      </c>
    </row>
    <row r="26" spans="1:14" s="18" customFormat="1" x14ac:dyDescent="0.25">
      <c r="A26" s="15">
        <f t="shared" si="0"/>
        <v>38017</v>
      </c>
      <c r="B26" s="16">
        <v>240563.80800000002</v>
      </c>
      <c r="C26" s="16">
        <v>180309.16800000001</v>
      </c>
      <c r="D26" s="16">
        <v>112664.808</v>
      </c>
      <c r="E26" s="16">
        <v>90552.492000000013</v>
      </c>
      <c r="F26" s="16">
        <v>95782.140000000014</v>
      </c>
      <c r="G26" s="16">
        <v>96180.04800000001</v>
      </c>
      <c r="H26" s="16">
        <v>114313.28400000001</v>
      </c>
      <c r="I26" s="16">
        <v>102205.51200000002</v>
      </c>
      <c r="J26" s="16">
        <v>94474.728000000003</v>
      </c>
      <c r="K26" s="16">
        <v>89472.456000000006</v>
      </c>
      <c r="L26" s="16"/>
      <c r="M26" s="16">
        <v>40359.240000000005</v>
      </c>
      <c r="N26" s="17">
        <f t="shared" si="1"/>
        <v>114261.60763636362</v>
      </c>
    </row>
    <row r="27" spans="1:14" s="18" customFormat="1" x14ac:dyDescent="0.25">
      <c r="A27" s="15">
        <f t="shared" si="0"/>
        <v>38046</v>
      </c>
      <c r="B27" s="16">
        <v>242837.56800000003</v>
      </c>
      <c r="C27" s="16">
        <v>190541.08800000002</v>
      </c>
      <c r="D27" s="16">
        <v>117098.64000000001</v>
      </c>
      <c r="E27" s="16">
        <v>96180.04800000001</v>
      </c>
      <c r="F27" s="16">
        <v>96691.644</v>
      </c>
      <c r="G27" s="16">
        <v>102376.04400000001</v>
      </c>
      <c r="H27" s="16">
        <v>115393.32</v>
      </c>
      <c r="I27" s="16">
        <v>102319.20000000001</v>
      </c>
      <c r="J27" s="16">
        <v>101807.60400000001</v>
      </c>
      <c r="K27" s="16">
        <v>90438.804000000004</v>
      </c>
      <c r="L27" s="16"/>
      <c r="M27" s="16">
        <v>41098.212</v>
      </c>
      <c r="N27" s="17">
        <f t="shared" si="1"/>
        <v>117889.28836363637</v>
      </c>
    </row>
    <row r="28" spans="1:14" s="18" customFormat="1" x14ac:dyDescent="0.25">
      <c r="A28" s="15">
        <f t="shared" si="0"/>
        <v>38077</v>
      </c>
      <c r="B28" s="16">
        <v>242350.7</v>
      </c>
      <c r="C28" s="16">
        <v>189380</v>
      </c>
      <c r="D28" s="16">
        <v>115410.4</v>
      </c>
      <c r="E28" s="16">
        <v>95581.2</v>
      </c>
      <c r="F28" s="16">
        <v>95358.399999999994</v>
      </c>
      <c r="G28" s="16">
        <v>103267.8</v>
      </c>
      <c r="H28" s="16">
        <v>114185</v>
      </c>
      <c r="I28" s="16">
        <v>102153.8</v>
      </c>
      <c r="J28" s="16">
        <v>102655.1</v>
      </c>
      <c r="K28" s="16">
        <v>89677</v>
      </c>
      <c r="L28" s="16"/>
      <c r="M28" s="16">
        <v>40271.1</v>
      </c>
      <c r="N28" s="17">
        <f t="shared" si="1"/>
        <v>117299.13636363638</v>
      </c>
    </row>
    <row r="29" spans="1:14" s="18" customFormat="1" x14ac:dyDescent="0.25">
      <c r="A29" s="15">
        <f t="shared" si="0"/>
        <v>38107</v>
      </c>
      <c r="B29" s="16">
        <v>245191.4</v>
      </c>
      <c r="C29" s="16">
        <v>191608</v>
      </c>
      <c r="D29" s="16">
        <v>119866.4</v>
      </c>
      <c r="E29" s="16">
        <v>99925.8</v>
      </c>
      <c r="F29" s="16">
        <v>96750.9</v>
      </c>
      <c r="G29" s="16">
        <v>107222.5</v>
      </c>
      <c r="H29" s="16">
        <v>118752.4</v>
      </c>
      <c r="I29" s="16">
        <v>105273</v>
      </c>
      <c r="J29" s="16">
        <v>106944</v>
      </c>
      <c r="K29" s="16">
        <v>92573.4</v>
      </c>
      <c r="L29" s="16"/>
      <c r="M29" s="16">
        <v>40939.5</v>
      </c>
      <c r="N29" s="17">
        <f t="shared" si="1"/>
        <v>120458.84545454546</v>
      </c>
    </row>
    <row r="30" spans="1:14" s="18" customFormat="1" x14ac:dyDescent="0.25">
      <c r="A30" s="15">
        <f t="shared" si="0"/>
        <v>38138</v>
      </c>
      <c r="B30" s="16">
        <v>245026.94999999998</v>
      </c>
      <c r="C30" s="16">
        <v>191289.62999999998</v>
      </c>
      <c r="D30" s="16">
        <v>118298.25</v>
      </c>
      <c r="E30" s="16">
        <v>99805.65</v>
      </c>
      <c r="F30" s="16">
        <v>95617.62</v>
      </c>
      <c r="G30" s="16">
        <v>109106.34</v>
      </c>
      <c r="H30" s="16">
        <v>119875.56</v>
      </c>
      <c r="I30" s="16">
        <v>107855.37</v>
      </c>
      <c r="J30" s="16">
        <v>108344.87999999999</v>
      </c>
      <c r="K30" s="16">
        <v>94964.939999999988</v>
      </c>
      <c r="L30" s="16"/>
      <c r="M30" s="16">
        <v>41227.619999999995</v>
      </c>
      <c r="N30" s="17">
        <f t="shared" si="1"/>
        <v>121037.52818181818</v>
      </c>
    </row>
    <row r="31" spans="1:14" s="18" customFormat="1" x14ac:dyDescent="0.25">
      <c r="A31" s="15">
        <f t="shared" si="0"/>
        <v>38168</v>
      </c>
      <c r="B31" s="16">
        <v>248453.52</v>
      </c>
      <c r="C31" s="16">
        <v>195314.49</v>
      </c>
      <c r="D31" s="16">
        <v>121072.13999999998</v>
      </c>
      <c r="E31" s="16">
        <v>102851.48999999999</v>
      </c>
      <c r="F31" s="16">
        <v>95998.349999999991</v>
      </c>
      <c r="G31" s="16">
        <v>113348.76</v>
      </c>
      <c r="H31" s="16">
        <v>122758.23</v>
      </c>
      <c r="I31" s="16">
        <v>111281.93999999999</v>
      </c>
      <c r="J31" s="16">
        <v>111662.67</v>
      </c>
      <c r="K31" s="16">
        <v>98282.73</v>
      </c>
      <c r="L31" s="16"/>
      <c r="M31" s="16">
        <v>43022.49</v>
      </c>
      <c r="N31" s="17">
        <f t="shared" si="1"/>
        <v>124004.25545454543</v>
      </c>
    </row>
    <row r="32" spans="1:14" s="18" customFormat="1" x14ac:dyDescent="0.25">
      <c r="A32" s="15">
        <f t="shared" si="0"/>
        <v>38199</v>
      </c>
      <c r="B32" s="16">
        <v>240580.48000000001</v>
      </c>
      <c r="C32" s="16">
        <v>189700.4</v>
      </c>
      <c r="D32" s="16">
        <v>116252.96</v>
      </c>
      <c r="E32" s="16">
        <v>99275.680000000008</v>
      </c>
      <c r="F32" s="16">
        <v>92546.880000000005</v>
      </c>
      <c r="G32" s="16">
        <v>108954.8</v>
      </c>
      <c r="H32" s="16">
        <v>118685.68000000001</v>
      </c>
      <c r="I32" s="16">
        <v>107867.84000000001</v>
      </c>
      <c r="J32" s="16">
        <v>106677.36</v>
      </c>
      <c r="K32" s="16">
        <v>94927.840000000011</v>
      </c>
      <c r="L32" s="16"/>
      <c r="M32" s="16">
        <v>41149.200000000004</v>
      </c>
      <c r="N32" s="17">
        <f t="shared" si="1"/>
        <v>119692.64727272731</v>
      </c>
    </row>
    <row r="33" spans="1:14" s="18" customFormat="1" x14ac:dyDescent="0.25">
      <c r="A33" s="15">
        <f t="shared" si="0"/>
        <v>38230</v>
      </c>
      <c r="B33" s="16">
        <v>244048.40000000002</v>
      </c>
      <c r="C33" s="16">
        <v>191977.84</v>
      </c>
      <c r="D33" s="16">
        <v>117754</v>
      </c>
      <c r="E33" s="16">
        <v>101294.31999999999</v>
      </c>
      <c r="F33" s="16">
        <v>94099.680000000008</v>
      </c>
      <c r="G33" s="16">
        <v>111542.8</v>
      </c>
      <c r="H33" s="16">
        <v>121221.92</v>
      </c>
      <c r="I33" s="16">
        <v>110559.36</v>
      </c>
      <c r="J33" s="16">
        <v>109575.92</v>
      </c>
      <c r="K33" s="16">
        <v>98085.2</v>
      </c>
      <c r="L33" s="16"/>
      <c r="M33" s="16">
        <v>41511.520000000004</v>
      </c>
      <c r="N33" s="17">
        <f t="shared" si="1"/>
        <v>121970.08727272727</v>
      </c>
    </row>
    <row r="34" spans="1:14" s="18" customFormat="1" x14ac:dyDescent="0.25">
      <c r="A34" s="15">
        <f t="shared" si="0"/>
        <v>38260</v>
      </c>
      <c r="B34" s="16">
        <v>242818.8</v>
      </c>
      <c r="C34" s="16">
        <v>191014.08</v>
      </c>
      <c r="D34" s="16">
        <v>117180.95999999999</v>
      </c>
      <c r="E34" s="16">
        <v>101178.72</v>
      </c>
      <c r="F34" s="16">
        <v>94443.599999999991</v>
      </c>
      <c r="G34" s="16">
        <v>112674</v>
      </c>
      <c r="H34" s="16">
        <v>120624.48</v>
      </c>
      <c r="I34" s="16">
        <v>110293.92</v>
      </c>
      <c r="J34" s="16">
        <v>110648.4</v>
      </c>
      <c r="K34" s="16">
        <v>97583.279999999984</v>
      </c>
      <c r="L34" s="16"/>
      <c r="M34" s="16">
        <v>42284.4</v>
      </c>
      <c r="N34" s="17">
        <f t="shared" si="1"/>
        <v>121885.87636363633</v>
      </c>
    </row>
    <row r="35" spans="1:14" s="18" customFormat="1" x14ac:dyDescent="0.25">
      <c r="A35" s="15">
        <f t="shared" si="0"/>
        <v>38291</v>
      </c>
      <c r="B35" s="16">
        <v>247376.4</v>
      </c>
      <c r="C35" s="16">
        <v>197546.64</v>
      </c>
      <c r="D35" s="16">
        <v>119864.87999999999</v>
      </c>
      <c r="E35" s="16">
        <v>105078</v>
      </c>
      <c r="F35" s="16">
        <v>97482</v>
      </c>
      <c r="G35" s="16">
        <v>115206</v>
      </c>
      <c r="H35" s="16">
        <v>123966.72</v>
      </c>
      <c r="I35" s="16">
        <v>113788.07999999999</v>
      </c>
      <c r="J35" s="16">
        <v>112927.2</v>
      </c>
      <c r="K35" s="16">
        <v>101482.56</v>
      </c>
      <c r="L35" s="16"/>
      <c r="M35" s="16">
        <v>45930.479999999996</v>
      </c>
      <c r="N35" s="17">
        <f t="shared" si="1"/>
        <v>125513.54181818181</v>
      </c>
    </row>
    <row r="36" spans="1:14" s="18" customFormat="1" x14ac:dyDescent="0.25">
      <c r="A36" s="15">
        <f t="shared" si="0"/>
        <v>38321</v>
      </c>
      <c r="B36" s="16">
        <v>242080.14</v>
      </c>
      <c r="C36" s="16">
        <v>195249.45</v>
      </c>
      <c r="D36" s="16">
        <v>118073.64000000001</v>
      </c>
      <c r="E36" s="16">
        <v>105089.43</v>
      </c>
      <c r="F36" s="16">
        <v>95217.540000000008</v>
      </c>
      <c r="G36" s="16">
        <v>114037.35</v>
      </c>
      <c r="H36" s="16">
        <v>121429.11</v>
      </c>
      <c r="I36" s="16">
        <v>110925.03</v>
      </c>
      <c r="J36" s="16">
        <v>110341.47</v>
      </c>
      <c r="K36" s="16">
        <v>99448.35</v>
      </c>
      <c r="L36" s="16"/>
      <c r="M36" s="16">
        <v>45614.94</v>
      </c>
      <c r="N36" s="17">
        <f t="shared" si="1"/>
        <v>123409.67727272726</v>
      </c>
    </row>
    <row r="37" spans="1:14" s="18" customFormat="1" x14ac:dyDescent="0.25">
      <c r="A37" s="15">
        <f t="shared" si="0"/>
        <v>38352</v>
      </c>
      <c r="B37" s="16">
        <v>246894.51</v>
      </c>
      <c r="C37" s="16">
        <v>198361.77</v>
      </c>
      <c r="D37" s="16">
        <v>121477.74</v>
      </c>
      <c r="E37" s="16">
        <v>108201.75</v>
      </c>
      <c r="F37" s="16">
        <v>96968.22</v>
      </c>
      <c r="G37" s="16">
        <v>116955.15000000001</v>
      </c>
      <c r="H37" s="16">
        <v>123763.35</v>
      </c>
      <c r="I37" s="16">
        <v>114183.24</v>
      </c>
      <c r="J37" s="16">
        <v>112238.04000000001</v>
      </c>
      <c r="K37" s="16">
        <v>102366.15000000001</v>
      </c>
      <c r="L37" s="16"/>
      <c r="M37" s="16">
        <v>46441.65</v>
      </c>
      <c r="N37" s="17">
        <f t="shared" si="1"/>
        <v>126168.32454545452</v>
      </c>
    </row>
    <row r="38" spans="1:14" s="18" customFormat="1" x14ac:dyDescent="0.25">
      <c r="A38" s="15">
        <f t="shared" si="0"/>
        <v>38383</v>
      </c>
      <c r="B38" s="16">
        <v>245723.5</v>
      </c>
      <c r="C38" s="16">
        <v>196200.4</v>
      </c>
      <c r="D38" s="16">
        <v>121466.40000000001</v>
      </c>
      <c r="E38" s="16">
        <v>108175.09999999999</v>
      </c>
      <c r="F38" s="16">
        <v>96539.3</v>
      </c>
      <c r="G38" s="16">
        <v>117067.5</v>
      </c>
      <c r="H38" s="16">
        <v>122365.09999999999</v>
      </c>
      <c r="I38" s="16">
        <v>114986.3</v>
      </c>
      <c r="J38" s="16">
        <v>112101</v>
      </c>
      <c r="K38" s="16">
        <v>104296.5</v>
      </c>
      <c r="L38" s="16"/>
      <c r="M38" s="16">
        <v>47158.1</v>
      </c>
      <c r="N38" s="17">
        <f t="shared" si="1"/>
        <v>126007.20000000001</v>
      </c>
    </row>
    <row r="39" spans="1:14" s="18" customFormat="1" x14ac:dyDescent="0.25">
      <c r="A39" s="15">
        <f t="shared" si="0"/>
        <v>38411</v>
      </c>
      <c r="B39" s="16">
        <v>250879.19999999998</v>
      </c>
      <c r="C39" s="16">
        <v>200552</v>
      </c>
      <c r="D39" s="16">
        <v>123547.59999999999</v>
      </c>
      <c r="E39" s="16">
        <v>110445.5</v>
      </c>
      <c r="F39" s="16">
        <v>98100.2</v>
      </c>
      <c r="G39" s="16">
        <v>118581.09999999999</v>
      </c>
      <c r="H39" s="16">
        <v>125723.40000000001</v>
      </c>
      <c r="I39" s="16">
        <v>117114.8</v>
      </c>
      <c r="J39" s="16">
        <v>114513.3</v>
      </c>
      <c r="K39" s="16">
        <v>106614.2</v>
      </c>
      <c r="L39" s="16"/>
      <c r="M39" s="16">
        <v>48624.4</v>
      </c>
      <c r="N39" s="17">
        <f t="shared" si="1"/>
        <v>128608.69999999997</v>
      </c>
    </row>
    <row r="40" spans="1:14" s="18" customFormat="1" x14ac:dyDescent="0.25">
      <c r="A40" s="15">
        <f t="shared" si="0"/>
        <v>38442</v>
      </c>
      <c r="B40" s="16">
        <v>259782</v>
      </c>
      <c r="C40" s="16">
        <v>201778.94999999998</v>
      </c>
      <c r="D40" s="16">
        <v>123172.5</v>
      </c>
      <c r="E40" s="16">
        <v>111527.09999999999</v>
      </c>
      <c r="F40" s="16">
        <v>98538</v>
      </c>
      <c r="G40" s="16">
        <v>120485.09999999999</v>
      </c>
      <c r="H40" s="16">
        <v>129935.79000000001</v>
      </c>
      <c r="I40" s="16">
        <v>116006.09999999999</v>
      </c>
      <c r="J40" s="16">
        <v>114707.19</v>
      </c>
      <c r="K40" s="16">
        <v>107496</v>
      </c>
      <c r="L40" s="16"/>
      <c r="M40" s="16">
        <v>46357.649999999994</v>
      </c>
      <c r="N40" s="17">
        <f t="shared" si="1"/>
        <v>129980.57999999999</v>
      </c>
    </row>
    <row r="41" spans="1:14" s="18" customFormat="1" x14ac:dyDescent="0.25">
      <c r="A41" s="15">
        <f t="shared" si="0"/>
        <v>38472</v>
      </c>
      <c r="B41" s="16">
        <v>264261</v>
      </c>
      <c r="C41" s="16">
        <v>224173.94999999998</v>
      </c>
      <c r="D41" s="16">
        <v>134728.32000000001</v>
      </c>
      <c r="E41" s="16">
        <v>120933</v>
      </c>
      <c r="F41" s="16">
        <v>107719.95</v>
      </c>
      <c r="G41" s="16">
        <v>132220.07999999999</v>
      </c>
      <c r="H41" s="16">
        <v>134817.9</v>
      </c>
      <c r="I41" s="16">
        <v>127651.5</v>
      </c>
      <c r="J41" s="16">
        <v>125635.95</v>
      </c>
      <c r="K41" s="16">
        <v>114662.39999999999</v>
      </c>
      <c r="L41" s="16"/>
      <c r="M41" s="16">
        <v>55987.5</v>
      </c>
      <c r="N41" s="17">
        <f t="shared" si="1"/>
        <v>140253.77727272725</v>
      </c>
    </row>
    <row r="42" spans="1:14" s="18" customFormat="1" x14ac:dyDescent="0.25">
      <c r="A42" s="15">
        <f t="shared" si="0"/>
        <v>38503</v>
      </c>
      <c r="B42" s="16">
        <v>271689.90000000002</v>
      </c>
      <c r="C42" s="16">
        <v>231235</v>
      </c>
      <c r="D42" s="16">
        <v>140896.20000000001</v>
      </c>
      <c r="E42" s="16">
        <v>130120.20000000001</v>
      </c>
      <c r="F42" s="16">
        <v>113821.5</v>
      </c>
      <c r="G42" s="16">
        <v>136271.5</v>
      </c>
      <c r="H42" s="16">
        <v>140402.29999999999</v>
      </c>
      <c r="I42" s="16">
        <v>135463.29999999999</v>
      </c>
      <c r="J42" s="16">
        <v>131871.29999999999</v>
      </c>
      <c r="K42" s="16">
        <v>121005.5</v>
      </c>
      <c r="L42" s="16"/>
      <c r="M42" s="16">
        <v>62860</v>
      </c>
      <c r="N42" s="17">
        <f t="shared" si="1"/>
        <v>146876.06363636366</v>
      </c>
    </row>
    <row r="43" spans="1:14" s="18" customFormat="1" x14ac:dyDescent="0.25">
      <c r="A43" s="15">
        <f t="shared" si="0"/>
        <v>38533</v>
      </c>
      <c r="B43" s="16">
        <v>279278</v>
      </c>
      <c r="C43" s="16">
        <v>233480</v>
      </c>
      <c r="D43" s="16">
        <v>142692.20000000001</v>
      </c>
      <c r="E43" s="16">
        <v>134700</v>
      </c>
      <c r="F43" s="16">
        <v>117952.29999999999</v>
      </c>
      <c r="G43" s="16">
        <v>141794.20000000001</v>
      </c>
      <c r="H43" s="16">
        <v>142198.29999999999</v>
      </c>
      <c r="I43" s="16">
        <v>138651.20000000001</v>
      </c>
      <c r="J43" s="16">
        <v>133757.09999999998</v>
      </c>
      <c r="K43" s="16">
        <v>122936.20000000001</v>
      </c>
      <c r="L43" s="16"/>
      <c r="M43" s="16">
        <v>73636</v>
      </c>
      <c r="N43" s="17">
        <f t="shared" si="1"/>
        <v>151006.86363636362</v>
      </c>
    </row>
    <row r="44" spans="1:14" s="18" customFormat="1" x14ac:dyDescent="0.25">
      <c r="A44" s="15">
        <f t="shared" si="0"/>
        <v>38564</v>
      </c>
      <c r="B44" s="16">
        <v>288000</v>
      </c>
      <c r="C44" s="16">
        <v>232900</v>
      </c>
      <c r="D44" s="16">
        <v>144700</v>
      </c>
      <c r="E44" s="16">
        <v>138600</v>
      </c>
      <c r="F44" s="16">
        <v>121800</v>
      </c>
      <c r="G44" s="16">
        <v>147100</v>
      </c>
      <c r="H44" s="16">
        <v>146600</v>
      </c>
      <c r="I44" s="16">
        <v>141800</v>
      </c>
      <c r="J44" s="16">
        <v>134600</v>
      </c>
      <c r="K44" s="16">
        <v>123500</v>
      </c>
      <c r="L44" s="16"/>
      <c r="M44" s="16">
        <v>75800</v>
      </c>
      <c r="N44" s="17">
        <f t="shared" si="1"/>
        <v>154127.27272727274</v>
      </c>
    </row>
    <row r="45" spans="1:14" s="18" customFormat="1" x14ac:dyDescent="0.25">
      <c r="A45" s="15">
        <f t="shared" si="0"/>
        <v>38595</v>
      </c>
      <c r="B45" s="16">
        <v>302900</v>
      </c>
      <c r="C45" s="16">
        <v>248100</v>
      </c>
      <c r="D45" s="16">
        <v>151700</v>
      </c>
      <c r="E45" s="16">
        <v>147700</v>
      </c>
      <c r="F45" s="16">
        <v>130900</v>
      </c>
      <c r="G45" s="16">
        <v>154900</v>
      </c>
      <c r="H45" s="16">
        <v>157600</v>
      </c>
      <c r="I45" s="16">
        <v>149300</v>
      </c>
      <c r="J45" s="16">
        <v>143300</v>
      </c>
      <c r="K45" s="16">
        <v>129500</v>
      </c>
      <c r="L45" s="16"/>
      <c r="M45" s="16">
        <v>79300</v>
      </c>
      <c r="N45" s="17">
        <f t="shared" si="1"/>
        <v>163200</v>
      </c>
    </row>
    <row r="46" spans="1:14" s="18" customFormat="1" x14ac:dyDescent="0.25">
      <c r="A46" s="15">
        <f t="shared" si="0"/>
        <v>38625</v>
      </c>
      <c r="B46" s="16">
        <v>303800</v>
      </c>
      <c r="C46" s="16">
        <v>250000</v>
      </c>
      <c r="D46" s="16">
        <v>151600</v>
      </c>
      <c r="E46" s="16">
        <v>148700</v>
      </c>
      <c r="F46" s="16">
        <v>130400</v>
      </c>
      <c r="G46" s="16">
        <v>156200</v>
      </c>
      <c r="H46" s="16">
        <v>157700</v>
      </c>
      <c r="I46" s="16">
        <v>148400</v>
      </c>
      <c r="J46" s="16">
        <v>144100</v>
      </c>
      <c r="K46" s="16">
        <v>130100</v>
      </c>
      <c r="L46" s="16"/>
      <c r="M46" s="16">
        <v>78600</v>
      </c>
      <c r="N46" s="17">
        <f t="shared" si="1"/>
        <v>163600</v>
      </c>
    </row>
    <row r="47" spans="1:14" s="18" customFormat="1" x14ac:dyDescent="0.25">
      <c r="A47" s="15">
        <f t="shared" si="0"/>
        <v>38656</v>
      </c>
      <c r="B47" s="16">
        <v>308500</v>
      </c>
      <c r="C47" s="16">
        <v>253400</v>
      </c>
      <c r="D47" s="16">
        <v>156800</v>
      </c>
      <c r="E47" s="16">
        <v>150300</v>
      </c>
      <c r="F47" s="16">
        <v>131100</v>
      </c>
      <c r="G47" s="16">
        <v>159400</v>
      </c>
      <c r="H47" s="16">
        <v>160400</v>
      </c>
      <c r="I47" s="16">
        <v>150100</v>
      </c>
      <c r="J47" s="16">
        <v>146500</v>
      </c>
      <c r="K47" s="16">
        <v>132000</v>
      </c>
      <c r="L47" s="16"/>
      <c r="M47" s="16">
        <v>78600</v>
      </c>
      <c r="N47" s="17">
        <f t="shared" si="1"/>
        <v>166100</v>
      </c>
    </row>
    <row r="48" spans="1:14" s="18" customFormat="1" x14ac:dyDescent="0.25">
      <c r="A48" s="15">
        <f t="shared" si="0"/>
        <v>38686</v>
      </c>
      <c r="B48" s="16">
        <v>330300</v>
      </c>
      <c r="C48" s="16">
        <v>264600</v>
      </c>
      <c r="D48" s="16">
        <v>161000</v>
      </c>
      <c r="E48" s="16">
        <v>154800</v>
      </c>
      <c r="F48" s="16">
        <v>134600</v>
      </c>
      <c r="G48" s="16">
        <v>165500</v>
      </c>
      <c r="H48" s="16">
        <v>168100</v>
      </c>
      <c r="I48" s="16">
        <v>155500</v>
      </c>
      <c r="J48" s="16">
        <v>151000</v>
      </c>
      <c r="K48" s="16">
        <v>136300</v>
      </c>
      <c r="L48" s="16"/>
      <c r="M48" s="16">
        <v>89600</v>
      </c>
      <c r="N48" s="17">
        <f t="shared" si="1"/>
        <v>173754.54545454544</v>
      </c>
    </row>
    <row r="49" spans="1:14" s="18" customFormat="1" x14ac:dyDescent="0.25">
      <c r="A49" s="15">
        <f t="shared" si="0"/>
        <v>38717</v>
      </c>
      <c r="B49" s="16">
        <v>337300</v>
      </c>
      <c r="C49" s="16">
        <v>266600</v>
      </c>
      <c r="D49" s="16">
        <v>159900</v>
      </c>
      <c r="E49" s="16">
        <v>152700</v>
      </c>
      <c r="F49" s="16">
        <v>133400</v>
      </c>
      <c r="G49" s="16">
        <v>163700</v>
      </c>
      <c r="H49" s="16">
        <v>166200</v>
      </c>
      <c r="I49" s="16">
        <v>153900</v>
      </c>
      <c r="J49" s="16">
        <v>150000</v>
      </c>
      <c r="K49" s="16">
        <v>134800</v>
      </c>
      <c r="L49" s="16"/>
      <c r="M49" s="16">
        <v>92200</v>
      </c>
      <c r="N49" s="17">
        <f t="shared" si="1"/>
        <v>173700</v>
      </c>
    </row>
    <row r="50" spans="1:14" s="18" customFormat="1" x14ac:dyDescent="0.25">
      <c r="A50" s="15">
        <f t="shared" si="0"/>
        <v>38748</v>
      </c>
      <c r="B50" s="16">
        <v>354300</v>
      </c>
      <c r="C50" s="16">
        <v>276200</v>
      </c>
      <c r="D50" s="16">
        <v>166200</v>
      </c>
      <c r="E50" s="16">
        <v>156700</v>
      </c>
      <c r="F50" s="16">
        <v>135900</v>
      </c>
      <c r="G50" s="16">
        <v>169800</v>
      </c>
      <c r="H50" s="16">
        <v>173200</v>
      </c>
      <c r="I50" s="16">
        <v>158600</v>
      </c>
      <c r="J50" s="16">
        <v>154000</v>
      </c>
      <c r="K50" s="16">
        <v>138600</v>
      </c>
      <c r="L50" s="16"/>
      <c r="M50" s="16">
        <v>96900</v>
      </c>
      <c r="N50" s="17">
        <f t="shared" si="1"/>
        <v>180036.36363636365</v>
      </c>
    </row>
    <row r="51" spans="1:14" s="18" customFormat="1" x14ac:dyDescent="0.25">
      <c r="A51" s="15">
        <f t="shared" si="0"/>
        <v>38776</v>
      </c>
      <c r="B51" s="16">
        <v>358200</v>
      </c>
      <c r="C51" s="16">
        <v>276800</v>
      </c>
      <c r="D51" s="16">
        <v>168800</v>
      </c>
      <c r="E51" s="16">
        <v>158400</v>
      </c>
      <c r="F51" s="16">
        <v>138200</v>
      </c>
      <c r="G51" s="16">
        <v>171500</v>
      </c>
      <c r="H51" s="16">
        <v>174400</v>
      </c>
      <c r="I51" s="16">
        <v>159800</v>
      </c>
      <c r="J51" s="16">
        <v>155700</v>
      </c>
      <c r="K51" s="16">
        <v>140400</v>
      </c>
      <c r="L51" s="16"/>
      <c r="M51" s="16">
        <v>99000</v>
      </c>
      <c r="N51" s="17">
        <f t="shared" si="1"/>
        <v>181927.27272727274</v>
      </c>
    </row>
    <row r="52" spans="1:14" s="18" customFormat="1" x14ac:dyDescent="0.25">
      <c r="A52" s="15">
        <f t="shared" si="0"/>
        <v>38807</v>
      </c>
      <c r="B52" s="16">
        <v>361900</v>
      </c>
      <c r="C52" s="16">
        <v>281200</v>
      </c>
      <c r="D52" s="16">
        <v>173800</v>
      </c>
      <c r="E52" s="16">
        <v>161500</v>
      </c>
      <c r="F52" s="16">
        <v>139500</v>
      </c>
      <c r="G52" s="16">
        <v>173000</v>
      </c>
      <c r="H52" s="16">
        <v>178300</v>
      </c>
      <c r="I52" s="16">
        <v>161400</v>
      </c>
      <c r="J52" s="16">
        <v>158500</v>
      </c>
      <c r="K52" s="16">
        <v>143100</v>
      </c>
      <c r="L52" s="16"/>
      <c r="M52" s="16">
        <v>101400</v>
      </c>
      <c r="N52" s="17">
        <f t="shared" si="1"/>
        <v>184872.72727272726</v>
      </c>
    </row>
    <row r="53" spans="1:14" s="18" customFormat="1" x14ac:dyDescent="0.25">
      <c r="A53" s="15">
        <f t="shared" si="0"/>
        <v>38837</v>
      </c>
      <c r="B53" s="16">
        <v>366100</v>
      </c>
      <c r="C53" s="16">
        <v>289800</v>
      </c>
      <c r="D53" s="16">
        <v>175100</v>
      </c>
      <c r="E53" s="16">
        <v>164000</v>
      </c>
      <c r="F53" s="16">
        <v>144100</v>
      </c>
      <c r="G53" s="16">
        <v>173400</v>
      </c>
      <c r="H53" s="16">
        <v>179800</v>
      </c>
      <c r="I53" s="16">
        <v>164100</v>
      </c>
      <c r="J53" s="16">
        <v>161400</v>
      </c>
      <c r="K53" s="16">
        <v>146000</v>
      </c>
      <c r="L53" s="16"/>
      <c r="M53" s="16">
        <v>103700</v>
      </c>
      <c r="N53" s="17">
        <f t="shared" si="1"/>
        <v>187954.54545454544</v>
      </c>
    </row>
    <row r="54" spans="1:14" s="18" customFormat="1" x14ac:dyDescent="0.25">
      <c r="A54" s="15">
        <f t="shared" si="0"/>
        <v>38868</v>
      </c>
      <c r="B54" s="16">
        <v>368100</v>
      </c>
      <c r="C54" s="16">
        <v>291200</v>
      </c>
      <c r="D54" s="16">
        <v>175500</v>
      </c>
      <c r="E54" s="16">
        <v>164900</v>
      </c>
      <c r="F54" s="16">
        <v>144700</v>
      </c>
      <c r="G54" s="16">
        <v>173400</v>
      </c>
      <c r="H54" s="16">
        <v>180900</v>
      </c>
      <c r="I54" s="16">
        <v>164600</v>
      </c>
      <c r="J54" s="16">
        <v>161500</v>
      </c>
      <c r="K54" s="16">
        <v>146600</v>
      </c>
      <c r="L54" s="16"/>
      <c r="M54" s="16">
        <v>105700</v>
      </c>
      <c r="N54" s="17">
        <f t="shared" si="1"/>
        <v>188827.27272727274</v>
      </c>
    </row>
    <row r="55" spans="1:14" s="18" customFormat="1" x14ac:dyDescent="0.25">
      <c r="A55" s="15">
        <f t="shared" si="0"/>
        <v>38898</v>
      </c>
      <c r="B55" s="16">
        <v>368100</v>
      </c>
      <c r="C55" s="16">
        <v>291200</v>
      </c>
      <c r="D55" s="16">
        <v>175500</v>
      </c>
      <c r="E55" s="16">
        <v>164900</v>
      </c>
      <c r="F55" s="16">
        <v>144700</v>
      </c>
      <c r="G55" s="16">
        <v>173400</v>
      </c>
      <c r="H55" s="16">
        <v>180900</v>
      </c>
      <c r="I55" s="16">
        <v>164600</v>
      </c>
      <c r="J55" s="16">
        <v>161500</v>
      </c>
      <c r="K55" s="16">
        <v>146600</v>
      </c>
      <c r="L55" s="16"/>
      <c r="M55" s="16">
        <v>108700</v>
      </c>
      <c r="N55" s="17">
        <f t="shared" si="1"/>
        <v>189100</v>
      </c>
    </row>
    <row r="56" spans="1:14" s="18" customFormat="1" x14ac:dyDescent="0.25">
      <c r="A56" s="15">
        <f t="shared" si="0"/>
        <v>38929</v>
      </c>
      <c r="B56" s="16">
        <v>371000</v>
      </c>
      <c r="C56" s="16">
        <v>294900</v>
      </c>
      <c r="D56" s="16">
        <v>176700</v>
      </c>
      <c r="E56" s="16">
        <v>165500</v>
      </c>
      <c r="F56" s="16">
        <v>145000</v>
      </c>
      <c r="G56" s="16">
        <v>178100</v>
      </c>
      <c r="H56" s="16">
        <v>182800</v>
      </c>
      <c r="I56" s="16">
        <v>165900</v>
      </c>
      <c r="J56" s="16">
        <v>162900</v>
      </c>
      <c r="K56" s="16">
        <v>149700</v>
      </c>
      <c r="L56" s="16"/>
      <c r="M56" s="16">
        <v>110000</v>
      </c>
      <c r="N56" s="17">
        <f t="shared" si="1"/>
        <v>191136.36363636365</v>
      </c>
    </row>
    <row r="57" spans="1:14" s="18" customFormat="1" x14ac:dyDescent="0.25">
      <c r="A57" s="15">
        <f t="shared" si="0"/>
        <v>38960</v>
      </c>
      <c r="B57" s="16">
        <v>385000</v>
      </c>
      <c r="C57" s="16">
        <v>305700</v>
      </c>
      <c r="D57" s="16">
        <v>185700</v>
      </c>
      <c r="E57" s="16">
        <v>174300</v>
      </c>
      <c r="F57" s="16">
        <v>154400</v>
      </c>
      <c r="G57" s="16">
        <v>188400</v>
      </c>
      <c r="H57" s="16">
        <v>193300</v>
      </c>
      <c r="I57" s="16">
        <v>172100</v>
      </c>
      <c r="J57" s="16">
        <v>172700</v>
      </c>
      <c r="K57" s="16">
        <v>161300</v>
      </c>
      <c r="L57" s="16"/>
      <c r="M57" s="16">
        <v>110000</v>
      </c>
      <c r="N57" s="17">
        <f t="shared" si="1"/>
        <v>200263.63636363635</v>
      </c>
    </row>
    <row r="58" spans="1:14" s="18" customFormat="1" x14ac:dyDescent="0.25">
      <c r="A58" s="15">
        <f t="shared" si="0"/>
        <v>38990</v>
      </c>
      <c r="B58" s="16">
        <v>396600</v>
      </c>
      <c r="C58" s="16">
        <v>312700</v>
      </c>
      <c r="D58" s="16">
        <v>195000</v>
      </c>
      <c r="E58" s="16">
        <v>179600</v>
      </c>
      <c r="F58" s="16">
        <v>162100</v>
      </c>
      <c r="G58" s="16">
        <v>191100</v>
      </c>
      <c r="H58" s="16">
        <v>203200</v>
      </c>
      <c r="I58" s="16">
        <v>180700</v>
      </c>
      <c r="J58" s="16">
        <v>173900</v>
      </c>
      <c r="K58" s="16">
        <v>169400</v>
      </c>
      <c r="L58" s="16"/>
      <c r="M58" s="16">
        <v>112600</v>
      </c>
      <c r="N58" s="17">
        <f t="shared" si="1"/>
        <v>206990.90909090909</v>
      </c>
    </row>
    <row r="59" spans="1:14" s="18" customFormat="1" x14ac:dyDescent="0.25">
      <c r="A59" s="15">
        <f t="shared" si="0"/>
        <v>39021</v>
      </c>
      <c r="B59" s="16">
        <v>397000</v>
      </c>
      <c r="C59" s="16">
        <v>313500</v>
      </c>
      <c r="D59" s="16">
        <v>199000</v>
      </c>
      <c r="E59" s="16">
        <v>181600</v>
      </c>
      <c r="F59" s="16">
        <v>169000</v>
      </c>
      <c r="G59" s="16">
        <v>191600</v>
      </c>
      <c r="H59" s="16">
        <v>203500</v>
      </c>
      <c r="I59" s="16">
        <v>184400</v>
      </c>
      <c r="J59" s="16">
        <v>174200</v>
      </c>
      <c r="K59" s="16">
        <v>171100</v>
      </c>
      <c r="L59" s="16"/>
      <c r="M59" s="16">
        <v>112600</v>
      </c>
      <c r="N59" s="17">
        <f t="shared" si="1"/>
        <v>208863.63636363635</v>
      </c>
    </row>
    <row r="60" spans="1:14" s="18" customFormat="1" x14ac:dyDescent="0.25">
      <c r="A60" s="15">
        <f t="shared" si="0"/>
        <v>39051</v>
      </c>
      <c r="B60" s="16">
        <v>401500</v>
      </c>
      <c r="C60" s="16">
        <v>321900</v>
      </c>
      <c r="D60" s="16">
        <v>218300</v>
      </c>
      <c r="E60" s="16">
        <v>187300</v>
      </c>
      <c r="F60" s="16">
        <v>194500</v>
      </c>
      <c r="G60" s="16">
        <v>202000</v>
      </c>
      <c r="H60" s="16">
        <v>205500</v>
      </c>
      <c r="I60" s="16">
        <v>192600</v>
      </c>
      <c r="J60" s="16">
        <v>182300</v>
      </c>
      <c r="K60" s="16">
        <v>180100</v>
      </c>
      <c r="L60" s="16"/>
      <c r="M60" s="16">
        <v>117600</v>
      </c>
      <c r="N60" s="17">
        <f t="shared" si="1"/>
        <v>218509.09090909091</v>
      </c>
    </row>
    <row r="61" spans="1:14" s="18" customFormat="1" ht="13.5" customHeight="1" x14ac:dyDescent="0.25">
      <c r="A61" s="15">
        <f t="shared" si="0"/>
        <v>39082</v>
      </c>
      <c r="B61" s="16">
        <v>403700</v>
      </c>
      <c r="C61" s="16">
        <v>323300</v>
      </c>
      <c r="D61" s="16">
        <v>223800</v>
      </c>
      <c r="E61" s="16">
        <v>194500</v>
      </c>
      <c r="F61" s="16">
        <v>197900</v>
      </c>
      <c r="G61" s="16">
        <v>206300</v>
      </c>
      <c r="H61" s="16">
        <v>216500</v>
      </c>
      <c r="I61" s="16">
        <v>192800</v>
      </c>
      <c r="J61" s="16">
        <v>182800</v>
      </c>
      <c r="K61" s="16">
        <v>181400</v>
      </c>
      <c r="L61" s="16"/>
      <c r="M61" s="16">
        <v>117600</v>
      </c>
      <c r="N61" s="17">
        <f t="shared" si="1"/>
        <v>221872.72727272726</v>
      </c>
    </row>
    <row r="62" spans="1:14" s="18" customFormat="1" ht="13.5" customHeight="1" x14ac:dyDescent="0.25">
      <c r="A62" s="15">
        <f t="shared" si="0"/>
        <v>39113</v>
      </c>
      <c r="B62" s="16">
        <v>415200</v>
      </c>
      <c r="C62" s="16">
        <v>324000</v>
      </c>
      <c r="D62" s="16">
        <v>226900</v>
      </c>
      <c r="E62" s="16">
        <v>199500</v>
      </c>
      <c r="F62" s="16">
        <v>204200</v>
      </c>
      <c r="G62" s="16">
        <v>214600</v>
      </c>
      <c r="H62" s="16">
        <v>222700</v>
      </c>
      <c r="I62" s="16">
        <v>198000</v>
      </c>
      <c r="J62" s="16">
        <v>189200</v>
      </c>
      <c r="K62" s="16">
        <v>186600</v>
      </c>
      <c r="L62" s="16"/>
      <c r="M62" s="16">
        <v>117600</v>
      </c>
      <c r="N62" s="17">
        <f t="shared" si="1"/>
        <v>227136.36363636365</v>
      </c>
    </row>
    <row r="63" spans="1:14" s="18" customFormat="1" ht="13.5" customHeight="1" x14ac:dyDescent="0.25">
      <c r="A63" s="15">
        <f t="shared" si="0"/>
        <v>39141</v>
      </c>
      <c r="B63" s="16">
        <v>415200</v>
      </c>
      <c r="C63" s="16">
        <v>324000</v>
      </c>
      <c r="D63" s="16">
        <v>231700</v>
      </c>
      <c r="E63" s="16">
        <v>205700</v>
      </c>
      <c r="F63" s="16">
        <v>204200</v>
      </c>
      <c r="G63" s="16">
        <v>215200</v>
      </c>
      <c r="H63" s="16">
        <v>227400</v>
      </c>
      <c r="I63" s="16">
        <v>204300</v>
      </c>
      <c r="J63" s="16">
        <v>193700</v>
      </c>
      <c r="K63" s="16">
        <v>191100</v>
      </c>
      <c r="L63" s="16"/>
      <c r="M63" s="16">
        <v>117600</v>
      </c>
      <c r="N63" s="17">
        <f t="shared" si="1"/>
        <v>230009.09090909091</v>
      </c>
    </row>
    <row r="64" spans="1:14" s="18" customFormat="1" ht="13.5" customHeight="1" x14ac:dyDescent="0.25">
      <c r="A64" s="15">
        <f t="shared" si="0"/>
        <v>39172</v>
      </c>
      <c r="B64" s="16">
        <v>422800</v>
      </c>
      <c r="C64" s="16">
        <v>330600</v>
      </c>
      <c r="D64" s="16">
        <v>239300</v>
      </c>
      <c r="E64" s="16">
        <v>215800</v>
      </c>
      <c r="F64" s="16">
        <v>208300</v>
      </c>
      <c r="G64" s="16">
        <v>222800</v>
      </c>
      <c r="H64" s="16">
        <v>228500</v>
      </c>
      <c r="I64" s="16">
        <v>214200</v>
      </c>
      <c r="J64" s="16">
        <v>199100</v>
      </c>
      <c r="K64" s="16">
        <v>199400</v>
      </c>
      <c r="L64" s="16"/>
      <c r="M64" s="16">
        <v>118800</v>
      </c>
      <c r="N64" s="17">
        <f t="shared" si="1"/>
        <v>236327.27272727274</v>
      </c>
    </row>
    <row r="65" spans="1:14" s="18" customFormat="1" ht="13.5" customHeight="1" x14ac:dyDescent="0.25">
      <c r="A65" s="15">
        <f t="shared" si="0"/>
        <v>39202</v>
      </c>
      <c r="B65" s="16">
        <v>439700</v>
      </c>
      <c r="C65" s="16">
        <v>346800</v>
      </c>
      <c r="D65" s="16">
        <v>250800</v>
      </c>
      <c r="E65" s="16">
        <v>219000</v>
      </c>
      <c r="F65" s="16">
        <v>212600</v>
      </c>
      <c r="G65" s="16">
        <v>227700</v>
      </c>
      <c r="H65" s="16">
        <v>233400</v>
      </c>
      <c r="I65" s="16">
        <v>221500</v>
      </c>
      <c r="J65" s="16">
        <v>207000</v>
      </c>
      <c r="K65" s="16">
        <v>201700</v>
      </c>
      <c r="L65" s="16"/>
      <c r="M65" s="16">
        <v>120000</v>
      </c>
      <c r="N65" s="17">
        <f t="shared" si="1"/>
        <v>243654.54545454544</v>
      </c>
    </row>
    <row r="66" spans="1:14" s="18" customFormat="1" ht="13.5" customHeight="1" x14ac:dyDescent="0.25">
      <c r="A66" s="15">
        <f t="shared" si="0"/>
        <v>39233</v>
      </c>
      <c r="B66" s="16">
        <v>453600</v>
      </c>
      <c r="C66" s="16">
        <v>362500</v>
      </c>
      <c r="D66" s="16">
        <v>261200</v>
      </c>
      <c r="E66" s="16">
        <v>225200</v>
      </c>
      <c r="F66" s="16">
        <v>217600</v>
      </c>
      <c r="G66" s="16">
        <v>234700</v>
      </c>
      <c r="H66" s="16">
        <v>240100</v>
      </c>
      <c r="I66" s="16">
        <v>230100</v>
      </c>
      <c r="J66" s="16">
        <v>216900</v>
      </c>
      <c r="K66" s="16">
        <v>209400</v>
      </c>
      <c r="L66" s="16"/>
      <c r="M66" s="16">
        <v>122000</v>
      </c>
      <c r="N66" s="17">
        <f t="shared" si="1"/>
        <v>252118.18181818182</v>
      </c>
    </row>
    <row r="67" spans="1:14" s="18" customFormat="1" ht="13.5" customHeight="1" x14ac:dyDescent="0.25">
      <c r="A67" s="15">
        <f t="shared" ref="A67:A130" si="2">IF(B67=0,"",EOMONTH(A66,1))</f>
        <v>39263</v>
      </c>
      <c r="B67" s="16">
        <v>454800</v>
      </c>
      <c r="C67" s="16">
        <v>372500</v>
      </c>
      <c r="D67" s="16">
        <v>273000</v>
      </c>
      <c r="E67" s="16">
        <v>228700</v>
      </c>
      <c r="F67" s="16">
        <v>221700</v>
      </c>
      <c r="G67" s="16">
        <v>244000</v>
      </c>
      <c r="H67" s="16">
        <v>246200</v>
      </c>
      <c r="I67" s="16">
        <v>237000</v>
      </c>
      <c r="J67" s="16">
        <v>226700</v>
      </c>
      <c r="K67" s="16">
        <v>217000</v>
      </c>
      <c r="L67" s="16"/>
      <c r="M67" s="16">
        <v>124900</v>
      </c>
      <c r="N67" s="17">
        <f t="shared" ref="N67:N130" si="3">IFERROR(AVERAGE(B67:M67),"")</f>
        <v>258772.72727272726</v>
      </c>
    </row>
    <row r="68" spans="1:14" s="18" customFormat="1" ht="13.5" customHeight="1" x14ac:dyDescent="0.25">
      <c r="A68" s="15">
        <f t="shared" si="2"/>
        <v>39294</v>
      </c>
      <c r="B68" s="16">
        <v>454800</v>
      </c>
      <c r="C68" s="16">
        <v>376600</v>
      </c>
      <c r="D68" s="16">
        <v>276100</v>
      </c>
      <c r="E68" s="16">
        <v>230100</v>
      </c>
      <c r="F68" s="16">
        <v>228200</v>
      </c>
      <c r="G68" s="16">
        <v>251100</v>
      </c>
      <c r="H68" s="16">
        <v>250400</v>
      </c>
      <c r="I68" s="16">
        <v>242100</v>
      </c>
      <c r="J68" s="16">
        <v>228600</v>
      </c>
      <c r="K68" s="16">
        <v>225500</v>
      </c>
      <c r="L68" s="16"/>
      <c r="M68" s="16">
        <v>125400</v>
      </c>
      <c r="N68" s="17">
        <f t="shared" si="3"/>
        <v>262627.27272727271</v>
      </c>
    </row>
    <row r="69" spans="1:14" s="18" customFormat="1" ht="13.5" customHeight="1" x14ac:dyDescent="0.25">
      <c r="A69" s="15">
        <f t="shared" si="2"/>
        <v>39325</v>
      </c>
      <c r="B69" s="16">
        <v>454800</v>
      </c>
      <c r="C69" s="16">
        <v>376600</v>
      </c>
      <c r="D69" s="16">
        <v>282200</v>
      </c>
      <c r="E69" s="16">
        <v>234300</v>
      </c>
      <c r="F69" s="16">
        <v>237600</v>
      </c>
      <c r="G69" s="16">
        <v>251100</v>
      </c>
      <c r="H69" s="16">
        <v>259400</v>
      </c>
      <c r="I69" s="16">
        <v>247300</v>
      </c>
      <c r="J69" s="16">
        <v>231200</v>
      </c>
      <c r="K69" s="16">
        <v>228200</v>
      </c>
      <c r="L69" s="16"/>
      <c r="M69" s="16">
        <v>127400</v>
      </c>
      <c r="N69" s="17">
        <f t="shared" si="3"/>
        <v>266372.72727272729</v>
      </c>
    </row>
    <row r="70" spans="1:14" s="18" customFormat="1" ht="13.5" customHeight="1" x14ac:dyDescent="0.25">
      <c r="A70" s="15">
        <f t="shared" si="2"/>
        <v>39355</v>
      </c>
      <c r="B70" s="16">
        <v>455800</v>
      </c>
      <c r="C70" s="16">
        <v>377100</v>
      </c>
      <c r="D70" s="16">
        <v>282700</v>
      </c>
      <c r="E70" s="16">
        <v>242800</v>
      </c>
      <c r="F70" s="16">
        <v>243700</v>
      </c>
      <c r="G70" s="16">
        <v>254100</v>
      </c>
      <c r="H70" s="16">
        <v>267600</v>
      </c>
      <c r="I70" s="16">
        <v>248000</v>
      </c>
      <c r="J70" s="16">
        <v>236900</v>
      </c>
      <c r="K70" s="16">
        <v>237200</v>
      </c>
      <c r="L70" s="16"/>
      <c r="M70" s="16">
        <v>127400</v>
      </c>
      <c r="N70" s="17">
        <f t="shared" si="3"/>
        <v>270300</v>
      </c>
    </row>
    <row r="71" spans="1:14" s="18" customFormat="1" ht="13.5" customHeight="1" x14ac:dyDescent="0.25">
      <c r="A71" s="15">
        <f t="shared" si="2"/>
        <v>39386</v>
      </c>
      <c r="B71" s="16">
        <v>465500</v>
      </c>
      <c r="C71" s="16">
        <v>377300</v>
      </c>
      <c r="D71" s="16">
        <v>282900</v>
      </c>
      <c r="E71" s="16">
        <v>245000</v>
      </c>
      <c r="F71" s="16">
        <v>243900</v>
      </c>
      <c r="G71" s="16">
        <v>259500</v>
      </c>
      <c r="H71" s="16">
        <v>274400</v>
      </c>
      <c r="I71" s="16">
        <v>256000</v>
      </c>
      <c r="J71" s="16">
        <v>246400</v>
      </c>
      <c r="K71" s="16">
        <v>243700</v>
      </c>
      <c r="L71" s="16"/>
      <c r="M71" s="16">
        <v>133200</v>
      </c>
      <c r="N71" s="17">
        <f t="shared" si="3"/>
        <v>275254.54545454547</v>
      </c>
    </row>
    <row r="72" spans="1:14" s="18" customFormat="1" ht="13.5" customHeight="1" x14ac:dyDescent="0.25">
      <c r="A72" s="15">
        <f t="shared" si="2"/>
        <v>39416</v>
      </c>
      <c r="B72" s="16">
        <v>473100</v>
      </c>
      <c r="C72" s="16">
        <v>377500</v>
      </c>
      <c r="D72" s="16">
        <v>295000</v>
      </c>
      <c r="E72" s="16">
        <v>251300</v>
      </c>
      <c r="F72" s="16">
        <v>250500</v>
      </c>
      <c r="G72" s="16">
        <v>261700</v>
      </c>
      <c r="H72" s="16">
        <v>274600</v>
      </c>
      <c r="I72" s="16">
        <v>257100</v>
      </c>
      <c r="J72" s="16">
        <v>250000</v>
      </c>
      <c r="K72" s="16">
        <v>250800</v>
      </c>
      <c r="L72" s="16"/>
      <c r="M72" s="16">
        <v>137500</v>
      </c>
      <c r="N72" s="17">
        <f t="shared" si="3"/>
        <v>279918.18181818182</v>
      </c>
    </row>
    <row r="73" spans="1:14" s="18" customFormat="1" ht="13.5" customHeight="1" x14ac:dyDescent="0.25">
      <c r="A73" s="15">
        <f t="shared" si="2"/>
        <v>39447</v>
      </c>
      <c r="B73" s="16">
        <v>474100</v>
      </c>
      <c r="C73" s="16">
        <v>378400</v>
      </c>
      <c r="D73" s="16">
        <v>297800</v>
      </c>
      <c r="E73" s="16">
        <v>253900</v>
      </c>
      <c r="F73" s="16">
        <v>254800</v>
      </c>
      <c r="G73" s="16">
        <v>264000</v>
      </c>
      <c r="H73" s="16">
        <v>276900</v>
      </c>
      <c r="I73" s="16">
        <v>260100</v>
      </c>
      <c r="J73" s="16">
        <v>254700</v>
      </c>
      <c r="K73" s="16">
        <v>255700</v>
      </c>
      <c r="L73" s="16"/>
      <c r="M73" s="16">
        <v>138400</v>
      </c>
      <c r="N73" s="17">
        <f t="shared" si="3"/>
        <v>282618.18181818182</v>
      </c>
    </row>
    <row r="74" spans="1:14" s="18" customFormat="1" ht="13.5" customHeight="1" x14ac:dyDescent="0.25">
      <c r="A74" s="15">
        <f t="shared" si="2"/>
        <v>39478</v>
      </c>
      <c r="B74" s="16">
        <v>475100</v>
      </c>
      <c r="C74" s="16">
        <v>379300</v>
      </c>
      <c r="D74" s="16">
        <v>298400</v>
      </c>
      <c r="E74" s="16">
        <v>254400</v>
      </c>
      <c r="F74" s="16">
        <v>260500</v>
      </c>
      <c r="G74" s="16">
        <v>270000</v>
      </c>
      <c r="H74" s="16">
        <v>277500</v>
      </c>
      <c r="I74" s="16">
        <v>260600</v>
      </c>
      <c r="J74" s="16">
        <v>255200</v>
      </c>
      <c r="K74" s="16">
        <v>256200</v>
      </c>
      <c r="L74" s="16"/>
      <c r="M74" s="16">
        <v>142900</v>
      </c>
      <c r="N74" s="17">
        <f t="shared" si="3"/>
        <v>284554.54545454547</v>
      </c>
    </row>
    <row r="75" spans="1:14" s="18" customFormat="1" ht="13.5" customHeight="1" x14ac:dyDescent="0.25">
      <c r="A75" s="15">
        <f t="shared" si="2"/>
        <v>39507</v>
      </c>
      <c r="B75" s="16">
        <v>476100</v>
      </c>
      <c r="C75" s="16">
        <v>387800</v>
      </c>
      <c r="D75" s="16">
        <v>299200</v>
      </c>
      <c r="E75" s="16">
        <v>259400</v>
      </c>
      <c r="F75" s="16">
        <v>261500</v>
      </c>
      <c r="G75" s="16">
        <v>270700</v>
      </c>
      <c r="H75" s="16">
        <v>278300</v>
      </c>
      <c r="I75" s="16">
        <v>263100</v>
      </c>
      <c r="J75" s="16">
        <v>256000</v>
      </c>
      <c r="K75" s="16">
        <v>262100</v>
      </c>
      <c r="L75" s="16"/>
      <c r="M75" s="16">
        <v>146700</v>
      </c>
      <c r="N75" s="17">
        <f t="shared" si="3"/>
        <v>287354.54545454547</v>
      </c>
    </row>
    <row r="76" spans="1:14" s="18" customFormat="1" ht="13.5" customHeight="1" x14ac:dyDescent="0.25">
      <c r="A76" s="15">
        <f t="shared" si="2"/>
        <v>39538</v>
      </c>
      <c r="B76" s="16">
        <v>466000</v>
      </c>
      <c r="C76" s="16">
        <v>395600</v>
      </c>
      <c r="D76" s="16">
        <v>296900</v>
      </c>
      <c r="E76" s="16">
        <v>263200</v>
      </c>
      <c r="F76" s="16">
        <v>258000</v>
      </c>
      <c r="G76" s="16">
        <v>266900</v>
      </c>
      <c r="H76" s="16">
        <v>275000</v>
      </c>
      <c r="I76" s="16">
        <v>269900</v>
      </c>
      <c r="J76" s="16">
        <v>255200</v>
      </c>
      <c r="K76" s="16">
        <v>260000</v>
      </c>
      <c r="L76" s="16"/>
      <c r="M76" s="16">
        <v>146700</v>
      </c>
      <c r="N76" s="17">
        <f t="shared" si="3"/>
        <v>286672.72727272729</v>
      </c>
    </row>
    <row r="77" spans="1:14" s="18" customFormat="1" ht="13.5" customHeight="1" x14ac:dyDescent="0.25">
      <c r="A77" s="15">
        <f t="shared" si="2"/>
        <v>39568</v>
      </c>
      <c r="B77" s="16">
        <v>471300</v>
      </c>
      <c r="C77" s="16">
        <v>409900</v>
      </c>
      <c r="D77" s="16">
        <v>306800</v>
      </c>
      <c r="E77" s="16">
        <v>270300</v>
      </c>
      <c r="F77" s="16">
        <v>267000</v>
      </c>
      <c r="G77" s="16">
        <v>274200</v>
      </c>
      <c r="H77" s="16">
        <v>283200</v>
      </c>
      <c r="I77" s="16">
        <v>280000</v>
      </c>
      <c r="J77" s="16">
        <v>260300</v>
      </c>
      <c r="K77" s="16">
        <v>268100</v>
      </c>
      <c r="L77" s="16"/>
      <c r="M77" s="16">
        <v>151500</v>
      </c>
      <c r="N77" s="17">
        <f t="shared" si="3"/>
        <v>294781.81818181818</v>
      </c>
    </row>
    <row r="78" spans="1:14" s="18" customFormat="1" ht="13.5" customHeight="1" x14ac:dyDescent="0.25">
      <c r="A78" s="15">
        <f t="shared" si="2"/>
        <v>39599</v>
      </c>
      <c r="B78" s="16">
        <v>477400</v>
      </c>
      <c r="C78" s="16">
        <v>416300</v>
      </c>
      <c r="D78" s="16">
        <v>307300</v>
      </c>
      <c r="E78" s="16">
        <v>276200</v>
      </c>
      <c r="F78" s="16">
        <v>274000</v>
      </c>
      <c r="G78" s="16">
        <v>279300</v>
      </c>
      <c r="H78" s="16">
        <v>290200</v>
      </c>
      <c r="I78" s="16">
        <v>280300</v>
      </c>
      <c r="J78" s="16">
        <v>266000</v>
      </c>
      <c r="K78" s="16">
        <v>268300</v>
      </c>
      <c r="L78" s="16"/>
      <c r="M78" s="16">
        <v>151500</v>
      </c>
      <c r="N78" s="17">
        <f t="shared" si="3"/>
        <v>298800</v>
      </c>
    </row>
    <row r="79" spans="1:14" s="18" customFormat="1" ht="13.5" customHeight="1" x14ac:dyDescent="0.25">
      <c r="A79" s="15">
        <f t="shared" si="2"/>
        <v>39629</v>
      </c>
      <c r="B79" s="16">
        <v>487000</v>
      </c>
      <c r="C79" s="16">
        <v>418500</v>
      </c>
      <c r="D79" s="16">
        <v>309600</v>
      </c>
      <c r="E79" s="16">
        <v>281700</v>
      </c>
      <c r="F79" s="16">
        <v>279500</v>
      </c>
      <c r="G79" s="16">
        <v>285000</v>
      </c>
      <c r="H79" s="16">
        <v>295000</v>
      </c>
      <c r="I79" s="16">
        <v>280800</v>
      </c>
      <c r="J79" s="16">
        <v>269700</v>
      </c>
      <c r="K79" s="16">
        <v>274000</v>
      </c>
      <c r="L79" s="16"/>
      <c r="M79" s="16">
        <v>155300</v>
      </c>
      <c r="N79" s="17">
        <f t="shared" si="3"/>
        <v>303281.81818181818</v>
      </c>
    </row>
    <row r="80" spans="1:14" s="18" customFormat="1" ht="13.5" customHeight="1" x14ac:dyDescent="0.25">
      <c r="A80" s="15">
        <f t="shared" si="2"/>
        <v>39660</v>
      </c>
      <c r="B80" s="16">
        <v>494800</v>
      </c>
      <c r="C80" s="16">
        <v>422300</v>
      </c>
      <c r="D80" s="16">
        <v>311000</v>
      </c>
      <c r="E80" s="16">
        <v>284500</v>
      </c>
      <c r="F80" s="16">
        <v>281000</v>
      </c>
      <c r="G80" s="16">
        <v>286000</v>
      </c>
      <c r="H80" s="16">
        <v>300500</v>
      </c>
      <c r="I80" s="16">
        <v>282500</v>
      </c>
      <c r="J80" s="16">
        <v>271600</v>
      </c>
      <c r="K80" s="16">
        <v>276000</v>
      </c>
      <c r="L80" s="16"/>
      <c r="M80" s="16">
        <v>158000</v>
      </c>
      <c r="N80" s="17">
        <f t="shared" si="3"/>
        <v>306200</v>
      </c>
    </row>
    <row r="81" spans="1:14" s="18" customFormat="1" ht="13.5" customHeight="1" x14ac:dyDescent="0.25">
      <c r="A81" s="15">
        <f t="shared" si="2"/>
        <v>39691</v>
      </c>
      <c r="B81" s="16">
        <v>483600</v>
      </c>
      <c r="C81" s="16">
        <v>412300</v>
      </c>
      <c r="D81" s="16">
        <v>308400</v>
      </c>
      <c r="E81" s="16">
        <v>278100</v>
      </c>
      <c r="F81" s="16">
        <v>275000</v>
      </c>
      <c r="G81" s="16">
        <v>284500</v>
      </c>
      <c r="H81" s="16">
        <v>297700</v>
      </c>
      <c r="I81" s="16">
        <v>278000</v>
      </c>
      <c r="J81" s="16">
        <v>265400</v>
      </c>
      <c r="K81" s="16">
        <v>271100</v>
      </c>
      <c r="L81" s="16"/>
      <c r="M81" s="16">
        <v>155100</v>
      </c>
      <c r="N81" s="17">
        <f t="shared" si="3"/>
        <v>300836.36363636365</v>
      </c>
    </row>
    <row r="82" spans="1:14" s="18" customFormat="1" ht="13.5" customHeight="1" x14ac:dyDescent="0.25">
      <c r="A82" s="15">
        <f t="shared" si="2"/>
        <v>39721</v>
      </c>
      <c r="B82" s="16">
        <v>486500</v>
      </c>
      <c r="C82" s="16">
        <v>403600</v>
      </c>
      <c r="D82" s="16">
        <v>311400</v>
      </c>
      <c r="E82" s="16">
        <v>273000</v>
      </c>
      <c r="F82" s="16">
        <v>275200</v>
      </c>
      <c r="G82" s="16">
        <v>285500</v>
      </c>
      <c r="H82" s="16">
        <v>307300</v>
      </c>
      <c r="I82" s="16">
        <v>276000</v>
      </c>
      <c r="J82" s="16">
        <v>259400</v>
      </c>
      <c r="K82" s="16">
        <v>272600</v>
      </c>
      <c r="L82" s="16"/>
      <c r="M82" s="16">
        <v>160000</v>
      </c>
      <c r="N82" s="17">
        <f t="shared" si="3"/>
        <v>300954.54545454547</v>
      </c>
    </row>
    <row r="83" spans="1:14" s="18" customFormat="1" ht="13.5" customHeight="1" x14ac:dyDescent="0.25">
      <c r="A83" s="15">
        <f t="shared" si="2"/>
        <v>39752</v>
      </c>
      <c r="B83" s="16">
        <v>490000</v>
      </c>
      <c r="C83" s="16">
        <v>401700</v>
      </c>
      <c r="D83" s="16">
        <v>313200</v>
      </c>
      <c r="E83" s="16">
        <v>272600</v>
      </c>
      <c r="F83" s="16">
        <v>267000</v>
      </c>
      <c r="G83" s="16">
        <v>283700</v>
      </c>
      <c r="H83" s="16">
        <v>304900</v>
      </c>
      <c r="I83" s="16">
        <v>269800</v>
      </c>
      <c r="J83" s="16">
        <v>255000</v>
      </c>
      <c r="K83" s="16">
        <v>276800</v>
      </c>
      <c r="L83" s="16"/>
      <c r="M83" s="16">
        <v>165600</v>
      </c>
      <c r="N83" s="17">
        <f t="shared" si="3"/>
        <v>300027.27272727271</v>
      </c>
    </row>
    <row r="84" spans="1:14" s="18" customFormat="1" ht="13.5" customHeight="1" x14ac:dyDescent="0.25">
      <c r="A84" s="15">
        <f t="shared" si="2"/>
        <v>39782</v>
      </c>
      <c r="B84" s="16">
        <v>495400</v>
      </c>
      <c r="C84" s="16">
        <v>400400</v>
      </c>
      <c r="D84" s="16">
        <v>310000</v>
      </c>
      <c r="E84" s="16">
        <v>269100</v>
      </c>
      <c r="F84" s="16">
        <v>271600</v>
      </c>
      <c r="G84" s="16">
        <v>278300</v>
      </c>
      <c r="H84" s="16">
        <v>299300</v>
      </c>
      <c r="I84" s="16">
        <v>265500</v>
      </c>
      <c r="J84" s="16">
        <v>259000</v>
      </c>
      <c r="K84" s="16">
        <v>276900</v>
      </c>
      <c r="L84" s="16"/>
      <c r="M84" s="16">
        <v>167900</v>
      </c>
      <c r="N84" s="17">
        <f t="shared" si="3"/>
        <v>299400</v>
      </c>
    </row>
    <row r="85" spans="1:14" s="18" customFormat="1" x14ac:dyDescent="0.25">
      <c r="A85" s="15">
        <f t="shared" si="2"/>
        <v>39813</v>
      </c>
      <c r="B85" s="16">
        <v>496300</v>
      </c>
      <c r="C85" s="16">
        <v>392800</v>
      </c>
      <c r="D85" s="16">
        <v>296500</v>
      </c>
      <c r="E85" s="16">
        <v>265700</v>
      </c>
      <c r="F85" s="16">
        <v>267200</v>
      </c>
      <c r="G85" s="16">
        <v>270300</v>
      </c>
      <c r="H85" s="16">
        <v>297200</v>
      </c>
      <c r="I85" s="16">
        <v>255000</v>
      </c>
      <c r="J85" s="16">
        <v>253600</v>
      </c>
      <c r="K85" s="16">
        <v>264600</v>
      </c>
      <c r="L85" s="16"/>
      <c r="M85" s="16">
        <v>152600</v>
      </c>
      <c r="N85" s="17">
        <f t="shared" si="3"/>
        <v>291981.81818181818</v>
      </c>
    </row>
    <row r="86" spans="1:14" s="18" customFormat="1" x14ac:dyDescent="0.25">
      <c r="A86" s="15">
        <f t="shared" si="2"/>
        <v>39844</v>
      </c>
      <c r="B86" s="16">
        <v>499800</v>
      </c>
      <c r="C86" s="16">
        <v>362100</v>
      </c>
      <c r="D86" s="16">
        <v>282300</v>
      </c>
      <c r="E86" s="16">
        <v>254300</v>
      </c>
      <c r="F86" s="16">
        <v>270200</v>
      </c>
      <c r="G86" s="16">
        <v>260500</v>
      </c>
      <c r="H86" s="16">
        <v>288200</v>
      </c>
      <c r="I86" s="16">
        <v>246200</v>
      </c>
      <c r="J86" s="16">
        <v>238100</v>
      </c>
      <c r="K86" s="16">
        <v>259100</v>
      </c>
      <c r="L86" s="16"/>
      <c r="M86" s="16">
        <v>152600</v>
      </c>
      <c r="N86" s="17">
        <f t="shared" si="3"/>
        <v>283036.36363636365</v>
      </c>
    </row>
    <row r="87" spans="1:14" s="18" customFormat="1" x14ac:dyDescent="0.25">
      <c r="A87" s="15">
        <f t="shared" si="2"/>
        <v>39872</v>
      </c>
      <c r="B87" s="16">
        <v>482300</v>
      </c>
      <c r="C87" s="16">
        <v>344400</v>
      </c>
      <c r="D87" s="16">
        <v>270200</v>
      </c>
      <c r="E87" s="16">
        <v>241200</v>
      </c>
      <c r="F87" s="16">
        <v>256600</v>
      </c>
      <c r="G87" s="16">
        <v>237300</v>
      </c>
      <c r="H87" s="16">
        <v>268400</v>
      </c>
      <c r="I87" s="16">
        <v>238700</v>
      </c>
      <c r="J87" s="16">
        <v>230600</v>
      </c>
      <c r="K87" s="16">
        <v>241800</v>
      </c>
      <c r="L87" s="16"/>
      <c r="M87" s="16">
        <v>148000</v>
      </c>
      <c r="N87" s="17">
        <f t="shared" si="3"/>
        <v>269045.45454545453</v>
      </c>
    </row>
    <row r="88" spans="1:14" s="18" customFormat="1" x14ac:dyDescent="0.25">
      <c r="A88" s="15">
        <f t="shared" si="2"/>
        <v>39903</v>
      </c>
      <c r="B88" s="16">
        <v>515600</v>
      </c>
      <c r="C88" s="16">
        <v>388400</v>
      </c>
      <c r="D88" s="16">
        <v>299100</v>
      </c>
      <c r="E88" s="16">
        <v>258600</v>
      </c>
      <c r="F88" s="16">
        <v>271500</v>
      </c>
      <c r="G88" s="16">
        <v>264700</v>
      </c>
      <c r="H88" s="16">
        <v>279200</v>
      </c>
      <c r="I88" s="16">
        <v>254700</v>
      </c>
      <c r="J88" s="16">
        <v>245100</v>
      </c>
      <c r="K88" s="16">
        <v>256700</v>
      </c>
      <c r="L88" s="16"/>
      <c r="M88" s="16">
        <v>154700</v>
      </c>
      <c r="N88" s="17">
        <f t="shared" si="3"/>
        <v>289845.45454545453</v>
      </c>
    </row>
    <row r="89" spans="1:14" s="18" customFormat="1" x14ac:dyDescent="0.25">
      <c r="A89" s="15">
        <f t="shared" si="2"/>
        <v>39933</v>
      </c>
      <c r="B89" s="16">
        <v>485100</v>
      </c>
      <c r="C89" s="16">
        <v>366900</v>
      </c>
      <c r="D89" s="16">
        <v>289000</v>
      </c>
      <c r="E89" s="16">
        <v>238600</v>
      </c>
      <c r="F89" s="16">
        <v>250600</v>
      </c>
      <c r="G89" s="16">
        <v>252000</v>
      </c>
      <c r="H89" s="16">
        <v>265600</v>
      </c>
      <c r="I89" s="16">
        <v>249500</v>
      </c>
      <c r="J89" s="16">
        <v>232400</v>
      </c>
      <c r="K89" s="16">
        <v>234600</v>
      </c>
      <c r="L89" s="16"/>
      <c r="M89" s="16">
        <v>134700</v>
      </c>
      <c r="N89" s="17">
        <f t="shared" si="3"/>
        <v>272636.36363636365</v>
      </c>
    </row>
    <row r="90" spans="1:14" s="18" customFormat="1" x14ac:dyDescent="0.25">
      <c r="A90" s="15">
        <f t="shared" si="2"/>
        <v>39964</v>
      </c>
      <c r="B90" s="16">
        <v>461300</v>
      </c>
      <c r="C90" s="16">
        <v>354400</v>
      </c>
      <c r="D90" s="16">
        <v>274900</v>
      </c>
      <c r="E90" s="16">
        <v>225600</v>
      </c>
      <c r="F90" s="16">
        <v>238900</v>
      </c>
      <c r="G90" s="16">
        <v>239000</v>
      </c>
      <c r="H90" s="16">
        <v>252600</v>
      </c>
      <c r="I90" s="16">
        <v>234900</v>
      </c>
      <c r="J90" s="16">
        <v>218700</v>
      </c>
      <c r="K90" s="16">
        <v>221500</v>
      </c>
      <c r="L90" s="16"/>
      <c r="M90" s="16">
        <v>134700</v>
      </c>
      <c r="N90" s="17">
        <f t="shared" si="3"/>
        <v>259681.81818181818</v>
      </c>
    </row>
    <row r="91" spans="1:14" s="18" customFormat="1" x14ac:dyDescent="0.25">
      <c r="A91" s="15">
        <f t="shared" si="2"/>
        <v>39994</v>
      </c>
      <c r="B91" s="16">
        <v>462800</v>
      </c>
      <c r="C91" s="16">
        <v>350400</v>
      </c>
      <c r="D91" s="16">
        <v>271700</v>
      </c>
      <c r="E91" s="16">
        <v>222600</v>
      </c>
      <c r="F91" s="16">
        <v>243300</v>
      </c>
      <c r="G91" s="16">
        <v>235500</v>
      </c>
      <c r="H91" s="16">
        <v>250900</v>
      </c>
      <c r="I91" s="16">
        <v>235600</v>
      </c>
      <c r="J91" s="16">
        <v>218600</v>
      </c>
      <c r="K91" s="16">
        <v>225700</v>
      </c>
      <c r="L91" s="16"/>
      <c r="M91" s="16">
        <v>134700</v>
      </c>
      <c r="N91" s="17">
        <f t="shared" si="3"/>
        <v>259254.54545454544</v>
      </c>
    </row>
    <row r="92" spans="1:14" s="18" customFormat="1" x14ac:dyDescent="0.25">
      <c r="A92" s="15">
        <f t="shared" si="2"/>
        <v>40025</v>
      </c>
      <c r="B92" s="16">
        <v>453500</v>
      </c>
      <c r="C92" s="16">
        <v>346800</v>
      </c>
      <c r="D92" s="16">
        <v>268300</v>
      </c>
      <c r="E92" s="16">
        <v>217500</v>
      </c>
      <c r="F92" s="16">
        <v>240400</v>
      </c>
      <c r="G92" s="16">
        <v>232300</v>
      </c>
      <c r="H92" s="16">
        <v>248100</v>
      </c>
      <c r="I92" s="16">
        <v>230400</v>
      </c>
      <c r="J92" s="16">
        <v>213600</v>
      </c>
      <c r="K92" s="16">
        <v>220700</v>
      </c>
      <c r="L92" s="16"/>
      <c r="M92" s="16">
        <v>136200</v>
      </c>
      <c r="N92" s="17">
        <f t="shared" si="3"/>
        <v>255254.54545454544</v>
      </c>
    </row>
    <row r="93" spans="1:14" s="18" customFormat="1" x14ac:dyDescent="0.25">
      <c r="A93" s="15">
        <f t="shared" si="2"/>
        <v>40056</v>
      </c>
      <c r="B93" s="16">
        <v>448700</v>
      </c>
      <c r="C93" s="16">
        <v>342000</v>
      </c>
      <c r="D93" s="16">
        <v>264900</v>
      </c>
      <c r="E93" s="16">
        <v>214200</v>
      </c>
      <c r="F93" s="16">
        <v>236600</v>
      </c>
      <c r="G93" s="16">
        <v>227600</v>
      </c>
      <c r="H93" s="16">
        <v>250600</v>
      </c>
      <c r="I93" s="16">
        <v>227200</v>
      </c>
      <c r="J93" s="16">
        <v>214800</v>
      </c>
      <c r="K93" s="16">
        <v>220000</v>
      </c>
      <c r="L93" s="16"/>
      <c r="M93" s="16">
        <v>137900</v>
      </c>
      <c r="N93" s="17">
        <f t="shared" si="3"/>
        <v>253136.36363636365</v>
      </c>
    </row>
    <row r="94" spans="1:14" s="18" customFormat="1" x14ac:dyDescent="0.25">
      <c r="A94" s="15">
        <f t="shared" si="2"/>
        <v>40086</v>
      </c>
      <c r="B94" s="16">
        <v>450900</v>
      </c>
      <c r="C94" s="16">
        <v>350600</v>
      </c>
      <c r="D94" s="16">
        <v>266400</v>
      </c>
      <c r="E94" s="16">
        <v>217600</v>
      </c>
      <c r="F94" s="16">
        <v>234600</v>
      </c>
      <c r="G94" s="16">
        <v>231000</v>
      </c>
      <c r="H94" s="16">
        <v>248700</v>
      </c>
      <c r="I94" s="16">
        <v>222600</v>
      </c>
      <c r="J94" s="16">
        <v>218000</v>
      </c>
      <c r="K94" s="16">
        <v>224300</v>
      </c>
      <c r="L94" s="16"/>
      <c r="M94" s="16">
        <v>140700</v>
      </c>
      <c r="N94" s="17">
        <f t="shared" si="3"/>
        <v>255036.36363636365</v>
      </c>
    </row>
    <row r="95" spans="1:14" s="18" customFormat="1" x14ac:dyDescent="0.25">
      <c r="A95" s="15">
        <f t="shared" si="2"/>
        <v>40117</v>
      </c>
      <c r="B95" s="16">
        <v>461700</v>
      </c>
      <c r="C95" s="16">
        <v>360100</v>
      </c>
      <c r="D95" s="16">
        <v>270400</v>
      </c>
      <c r="E95" s="16">
        <v>221800</v>
      </c>
      <c r="F95" s="16">
        <v>235700</v>
      </c>
      <c r="G95" s="16">
        <v>235800</v>
      </c>
      <c r="H95" s="16">
        <v>253700</v>
      </c>
      <c r="I95" s="16">
        <v>226000</v>
      </c>
      <c r="J95" s="16">
        <v>222800</v>
      </c>
      <c r="K95" s="16">
        <v>228100</v>
      </c>
      <c r="L95" s="16"/>
      <c r="M95" s="16">
        <v>143300</v>
      </c>
      <c r="N95" s="17">
        <f t="shared" si="3"/>
        <v>259945.45454545456</v>
      </c>
    </row>
    <row r="96" spans="1:14" s="18" customFormat="1" x14ac:dyDescent="0.25">
      <c r="A96" s="15">
        <f t="shared" si="2"/>
        <v>40147</v>
      </c>
      <c r="B96" s="16">
        <v>465600</v>
      </c>
      <c r="C96" s="16">
        <v>366800</v>
      </c>
      <c r="D96" s="16">
        <v>277500</v>
      </c>
      <c r="E96" s="16">
        <v>227600</v>
      </c>
      <c r="F96" s="16">
        <v>241100</v>
      </c>
      <c r="G96" s="16">
        <v>241800</v>
      </c>
      <c r="H96" s="16">
        <v>261300</v>
      </c>
      <c r="I96" s="16">
        <v>230700</v>
      </c>
      <c r="J96" s="16">
        <v>230100</v>
      </c>
      <c r="K96" s="16">
        <v>229400</v>
      </c>
      <c r="L96" s="16"/>
      <c r="M96" s="16">
        <v>142200</v>
      </c>
      <c r="N96" s="17">
        <f t="shared" si="3"/>
        <v>264918.18181818182</v>
      </c>
    </row>
    <row r="97" spans="1:14" s="18" customFormat="1" x14ac:dyDescent="0.25">
      <c r="A97" s="15">
        <f t="shared" si="2"/>
        <v>40178</v>
      </c>
      <c r="B97" s="16">
        <v>472300</v>
      </c>
      <c r="C97" s="16">
        <v>370800</v>
      </c>
      <c r="D97" s="16">
        <v>280900</v>
      </c>
      <c r="E97" s="16">
        <v>230500</v>
      </c>
      <c r="F97" s="16">
        <v>245400</v>
      </c>
      <c r="G97" s="16">
        <v>245600</v>
      </c>
      <c r="H97" s="16">
        <v>265700</v>
      </c>
      <c r="I97" s="16">
        <v>234800</v>
      </c>
      <c r="J97" s="16">
        <v>233800</v>
      </c>
      <c r="K97" s="16">
        <v>231800</v>
      </c>
      <c r="L97" s="16"/>
      <c r="M97" s="16">
        <v>142200</v>
      </c>
      <c r="N97" s="17">
        <f t="shared" si="3"/>
        <v>268527.27272727271</v>
      </c>
    </row>
    <row r="98" spans="1:14" s="18" customFormat="1" x14ac:dyDescent="0.25">
      <c r="A98" s="15">
        <f t="shared" si="2"/>
        <v>40209</v>
      </c>
      <c r="B98" s="16">
        <v>473300</v>
      </c>
      <c r="C98" s="16">
        <v>370800</v>
      </c>
      <c r="D98" s="16">
        <v>283300</v>
      </c>
      <c r="E98" s="16">
        <v>232400</v>
      </c>
      <c r="F98" s="16">
        <v>246200</v>
      </c>
      <c r="G98" s="16">
        <v>247700</v>
      </c>
      <c r="H98" s="16">
        <v>267800</v>
      </c>
      <c r="I98" s="16">
        <v>237000</v>
      </c>
      <c r="J98" s="16">
        <v>234700</v>
      </c>
      <c r="K98" s="16">
        <v>232800</v>
      </c>
      <c r="L98" s="16"/>
      <c r="M98" s="16">
        <v>142200</v>
      </c>
      <c r="N98" s="17">
        <f t="shared" si="3"/>
        <v>269836.36363636365</v>
      </c>
    </row>
    <row r="99" spans="1:14" s="18" customFormat="1" x14ac:dyDescent="0.25">
      <c r="A99" s="15">
        <f t="shared" si="2"/>
        <v>40237</v>
      </c>
      <c r="B99" s="16">
        <v>469200</v>
      </c>
      <c r="C99" s="16">
        <v>370800</v>
      </c>
      <c r="D99" s="16">
        <v>281200</v>
      </c>
      <c r="E99" s="16">
        <v>234400</v>
      </c>
      <c r="F99" s="16">
        <v>246500</v>
      </c>
      <c r="G99" s="16">
        <v>247300</v>
      </c>
      <c r="H99" s="16">
        <v>269000</v>
      </c>
      <c r="I99" s="16">
        <v>240500</v>
      </c>
      <c r="J99" s="16">
        <v>235000</v>
      </c>
      <c r="K99" s="16">
        <v>235700</v>
      </c>
      <c r="L99" s="16"/>
      <c r="M99" s="16">
        <v>143500</v>
      </c>
      <c r="N99" s="17">
        <f t="shared" si="3"/>
        <v>270281.81818181818</v>
      </c>
    </row>
    <row r="100" spans="1:14" s="18" customFormat="1" x14ac:dyDescent="0.25">
      <c r="A100" s="15">
        <f t="shared" si="2"/>
        <v>40268</v>
      </c>
      <c r="B100" s="16">
        <v>469200</v>
      </c>
      <c r="C100" s="16">
        <v>380000</v>
      </c>
      <c r="D100" s="16">
        <v>286100</v>
      </c>
      <c r="E100" s="16">
        <v>237600</v>
      </c>
      <c r="F100" s="16">
        <v>251400</v>
      </c>
      <c r="G100" s="16">
        <v>252200</v>
      </c>
      <c r="H100" s="16">
        <v>274000</v>
      </c>
      <c r="I100" s="16">
        <v>240500</v>
      </c>
      <c r="J100" s="16">
        <v>240300</v>
      </c>
      <c r="K100" s="16">
        <v>239300</v>
      </c>
      <c r="L100" s="16"/>
      <c r="M100" s="16">
        <v>144300</v>
      </c>
      <c r="N100" s="17">
        <f t="shared" si="3"/>
        <v>274081.81818181818</v>
      </c>
    </row>
    <row r="101" spans="1:14" s="18" customFormat="1" x14ac:dyDescent="0.25">
      <c r="A101" s="15">
        <f t="shared" si="2"/>
        <v>40298</v>
      </c>
      <c r="B101" s="16">
        <v>469200</v>
      </c>
      <c r="C101" s="16">
        <v>389300</v>
      </c>
      <c r="D101" s="16">
        <v>288500</v>
      </c>
      <c r="E101" s="16">
        <v>243000</v>
      </c>
      <c r="F101" s="16">
        <v>251400</v>
      </c>
      <c r="G101" s="16">
        <v>256900</v>
      </c>
      <c r="H101" s="16">
        <v>277200</v>
      </c>
      <c r="I101" s="16">
        <v>242300</v>
      </c>
      <c r="J101" s="16">
        <v>245500</v>
      </c>
      <c r="K101" s="16">
        <v>242500</v>
      </c>
      <c r="L101" s="16"/>
      <c r="M101" s="16">
        <v>144500</v>
      </c>
      <c r="N101" s="17">
        <f t="shared" si="3"/>
        <v>277300</v>
      </c>
    </row>
    <row r="102" spans="1:14" s="18" customFormat="1" x14ac:dyDescent="0.25">
      <c r="A102" s="15">
        <f t="shared" si="2"/>
        <v>40329</v>
      </c>
      <c r="B102" s="16">
        <v>469500</v>
      </c>
      <c r="C102" s="16">
        <v>392200</v>
      </c>
      <c r="D102" s="16">
        <v>289700</v>
      </c>
      <c r="E102" s="16">
        <v>244700</v>
      </c>
      <c r="F102" s="16">
        <v>252600</v>
      </c>
      <c r="G102" s="16">
        <v>262100</v>
      </c>
      <c r="H102" s="16">
        <v>280400</v>
      </c>
      <c r="I102" s="16">
        <v>242300</v>
      </c>
      <c r="J102" s="16">
        <v>251200</v>
      </c>
      <c r="K102" s="16">
        <v>247900</v>
      </c>
      <c r="L102" s="16"/>
      <c r="M102" s="16">
        <v>145900</v>
      </c>
      <c r="N102" s="17">
        <f t="shared" si="3"/>
        <v>279863.63636363635</v>
      </c>
    </row>
    <row r="103" spans="1:14" s="18" customFormat="1" x14ac:dyDescent="0.25">
      <c r="A103" s="15">
        <f t="shared" si="2"/>
        <v>40359</v>
      </c>
      <c r="B103" s="16">
        <v>478100</v>
      </c>
      <c r="C103" s="16">
        <v>395500</v>
      </c>
      <c r="D103" s="16">
        <v>294300</v>
      </c>
      <c r="E103" s="16">
        <v>246200</v>
      </c>
      <c r="F103" s="16">
        <v>259900</v>
      </c>
      <c r="G103" s="16">
        <v>263800</v>
      </c>
      <c r="H103" s="16">
        <v>281400</v>
      </c>
      <c r="I103" s="16">
        <v>242300</v>
      </c>
      <c r="J103" s="16">
        <v>253400</v>
      </c>
      <c r="K103" s="16">
        <v>249900</v>
      </c>
      <c r="L103" s="16"/>
      <c r="M103" s="16">
        <v>147800</v>
      </c>
      <c r="N103" s="17">
        <f t="shared" si="3"/>
        <v>282963.63636363635</v>
      </c>
    </row>
    <row r="104" spans="1:14" s="18" customFormat="1" x14ac:dyDescent="0.25">
      <c r="A104" s="15">
        <f t="shared" si="2"/>
        <v>40390</v>
      </c>
      <c r="B104" s="16">
        <v>472000</v>
      </c>
      <c r="C104" s="16">
        <v>389000</v>
      </c>
      <c r="D104" s="16">
        <v>294400</v>
      </c>
      <c r="E104" s="16">
        <v>240400</v>
      </c>
      <c r="F104" s="16">
        <v>253000</v>
      </c>
      <c r="G104" s="16">
        <v>257900</v>
      </c>
      <c r="H104" s="16">
        <v>274100</v>
      </c>
      <c r="I104" s="16">
        <v>237400</v>
      </c>
      <c r="J104" s="16">
        <v>247000</v>
      </c>
      <c r="K104" s="16">
        <v>245800</v>
      </c>
      <c r="L104" s="16"/>
      <c r="M104" s="16">
        <v>147800</v>
      </c>
      <c r="N104" s="17">
        <f t="shared" si="3"/>
        <v>278072.72727272729</v>
      </c>
    </row>
    <row r="105" spans="1:14" s="18" customFormat="1" x14ac:dyDescent="0.25">
      <c r="A105" s="15">
        <f t="shared" si="2"/>
        <v>40421</v>
      </c>
      <c r="B105" s="16">
        <v>462800</v>
      </c>
      <c r="C105" s="16">
        <v>382000</v>
      </c>
      <c r="D105" s="16">
        <v>290800</v>
      </c>
      <c r="E105" s="16">
        <v>236600</v>
      </c>
      <c r="F105" s="16">
        <v>250200</v>
      </c>
      <c r="G105" s="16">
        <v>253000</v>
      </c>
      <c r="H105" s="16">
        <v>274500</v>
      </c>
      <c r="I105" s="16">
        <v>234100</v>
      </c>
      <c r="J105" s="16">
        <v>242500</v>
      </c>
      <c r="K105" s="16">
        <v>242200</v>
      </c>
      <c r="L105" s="16"/>
      <c r="M105" s="16">
        <v>147800</v>
      </c>
      <c r="N105" s="17">
        <f t="shared" si="3"/>
        <v>274227.27272727271</v>
      </c>
    </row>
    <row r="106" spans="1:14" s="18" customFormat="1" x14ac:dyDescent="0.25">
      <c r="A106" s="15">
        <f t="shared" si="2"/>
        <v>40451</v>
      </c>
      <c r="B106" s="16">
        <v>455400</v>
      </c>
      <c r="C106" s="16">
        <v>374800</v>
      </c>
      <c r="D106" s="16">
        <v>285700</v>
      </c>
      <c r="E106" s="16">
        <v>232300</v>
      </c>
      <c r="F106" s="16">
        <v>245700</v>
      </c>
      <c r="G106" s="16">
        <v>247400</v>
      </c>
      <c r="H106" s="16">
        <v>272600</v>
      </c>
      <c r="I106" s="16">
        <v>232700</v>
      </c>
      <c r="J106" s="16">
        <v>237200</v>
      </c>
      <c r="K106" s="16">
        <v>240600</v>
      </c>
      <c r="L106" s="16"/>
      <c r="M106" s="16">
        <v>148100</v>
      </c>
      <c r="N106" s="17">
        <f t="shared" si="3"/>
        <v>270227.27272727271</v>
      </c>
    </row>
    <row r="107" spans="1:14" s="18" customFormat="1" x14ac:dyDescent="0.25">
      <c r="A107" s="15">
        <f t="shared" si="2"/>
        <v>40482</v>
      </c>
      <c r="B107" s="16">
        <v>447600</v>
      </c>
      <c r="C107" s="16">
        <v>366100</v>
      </c>
      <c r="D107" s="16">
        <v>278800</v>
      </c>
      <c r="E107" s="16">
        <v>229000</v>
      </c>
      <c r="F107" s="16">
        <v>244200</v>
      </c>
      <c r="G107" s="16">
        <v>242400</v>
      </c>
      <c r="H107" s="16">
        <v>268200</v>
      </c>
      <c r="I107" s="16">
        <v>229200</v>
      </c>
      <c r="J107" s="16">
        <v>232300</v>
      </c>
      <c r="K107" s="16">
        <v>237900</v>
      </c>
      <c r="L107" s="16"/>
      <c r="M107" s="16">
        <v>149000</v>
      </c>
      <c r="N107" s="17">
        <f t="shared" si="3"/>
        <v>265881.81818181818</v>
      </c>
    </row>
    <row r="108" spans="1:14" s="18" customFormat="1" x14ac:dyDescent="0.25">
      <c r="A108" s="15">
        <f t="shared" si="2"/>
        <v>40512</v>
      </c>
      <c r="B108" s="16">
        <v>447600</v>
      </c>
      <c r="C108" s="16">
        <v>362600</v>
      </c>
      <c r="D108" s="16">
        <v>279400</v>
      </c>
      <c r="E108" s="16">
        <v>229300</v>
      </c>
      <c r="F108" s="16">
        <v>244200</v>
      </c>
      <c r="G108" s="16">
        <v>242400</v>
      </c>
      <c r="H108" s="16">
        <v>265000</v>
      </c>
      <c r="I108" s="16">
        <v>228500</v>
      </c>
      <c r="J108" s="16">
        <v>228400</v>
      </c>
      <c r="K108" s="16">
        <v>237100</v>
      </c>
      <c r="L108" s="16"/>
      <c r="M108" s="16">
        <v>149100</v>
      </c>
      <c r="N108" s="17">
        <f t="shared" si="3"/>
        <v>264872.72727272729</v>
      </c>
    </row>
    <row r="109" spans="1:14" s="18" customFormat="1" x14ac:dyDescent="0.25">
      <c r="A109" s="15">
        <f t="shared" si="2"/>
        <v>40543</v>
      </c>
      <c r="B109" s="16">
        <v>440600</v>
      </c>
      <c r="C109" s="16">
        <v>355800</v>
      </c>
      <c r="D109" s="16">
        <v>275800</v>
      </c>
      <c r="E109" s="16">
        <v>225800</v>
      </c>
      <c r="F109" s="16">
        <v>239100</v>
      </c>
      <c r="G109" s="16">
        <v>237600</v>
      </c>
      <c r="H109" s="16">
        <v>263200</v>
      </c>
      <c r="I109" s="16">
        <v>224400</v>
      </c>
      <c r="J109" s="16">
        <v>223600</v>
      </c>
      <c r="K109" s="16">
        <v>232400</v>
      </c>
      <c r="L109" s="16"/>
      <c r="M109" s="16">
        <v>149100</v>
      </c>
      <c r="N109" s="17">
        <f t="shared" si="3"/>
        <v>260672.72727272726</v>
      </c>
    </row>
    <row r="110" spans="1:14" s="18" customFormat="1" x14ac:dyDescent="0.25">
      <c r="A110" s="15">
        <f t="shared" si="2"/>
        <v>40574</v>
      </c>
      <c r="B110" s="16">
        <v>439100</v>
      </c>
      <c r="C110" s="16">
        <v>352400</v>
      </c>
      <c r="D110" s="16">
        <v>273400</v>
      </c>
      <c r="E110" s="16">
        <v>225800</v>
      </c>
      <c r="F110" s="16">
        <v>234700</v>
      </c>
      <c r="G110" s="16">
        <v>235500</v>
      </c>
      <c r="H110" s="16">
        <v>260100</v>
      </c>
      <c r="I110" s="16">
        <v>220400</v>
      </c>
      <c r="J110" s="16">
        <v>219400</v>
      </c>
      <c r="K110" s="16">
        <v>228900</v>
      </c>
      <c r="L110" s="16"/>
      <c r="M110" s="16">
        <v>149000</v>
      </c>
      <c r="N110" s="17">
        <f t="shared" si="3"/>
        <v>258063.63636363635</v>
      </c>
    </row>
    <row r="111" spans="1:14" s="18" customFormat="1" x14ac:dyDescent="0.25">
      <c r="A111" s="15">
        <f t="shared" si="2"/>
        <v>40602</v>
      </c>
      <c r="B111" s="16">
        <v>442800</v>
      </c>
      <c r="C111" s="16">
        <v>356100</v>
      </c>
      <c r="D111" s="16">
        <v>275200</v>
      </c>
      <c r="E111" s="16">
        <v>228100</v>
      </c>
      <c r="F111" s="16">
        <v>236300</v>
      </c>
      <c r="G111" s="16">
        <v>237300</v>
      </c>
      <c r="H111" s="16">
        <v>261400</v>
      </c>
      <c r="I111" s="16">
        <v>222200</v>
      </c>
      <c r="J111" s="16">
        <v>221000</v>
      </c>
      <c r="K111" s="16">
        <v>231000</v>
      </c>
      <c r="L111" s="16"/>
      <c r="M111" s="16">
        <v>149000</v>
      </c>
      <c r="N111" s="17">
        <f t="shared" si="3"/>
        <v>260036.36363636365</v>
      </c>
    </row>
    <row r="112" spans="1:14" s="18" customFormat="1" x14ac:dyDescent="0.25">
      <c r="A112" s="15">
        <f t="shared" si="2"/>
        <v>40633</v>
      </c>
      <c r="B112" s="16">
        <v>451600</v>
      </c>
      <c r="C112" s="16">
        <v>348200</v>
      </c>
      <c r="D112" s="16">
        <v>269500</v>
      </c>
      <c r="E112" s="16">
        <v>224800</v>
      </c>
      <c r="F112" s="16">
        <v>234800</v>
      </c>
      <c r="G112" s="16">
        <v>233000</v>
      </c>
      <c r="H112" s="16">
        <v>255600</v>
      </c>
      <c r="I112" s="16">
        <v>221100</v>
      </c>
      <c r="J112" s="16">
        <v>219500</v>
      </c>
      <c r="K112" s="16">
        <v>228200</v>
      </c>
      <c r="L112" s="16"/>
      <c r="M112" s="16">
        <v>148000</v>
      </c>
      <c r="N112" s="17">
        <f t="shared" si="3"/>
        <v>257663.63636363635</v>
      </c>
    </row>
    <row r="113" spans="1:14" s="18" customFormat="1" x14ac:dyDescent="0.25">
      <c r="A113" s="15">
        <f t="shared" si="2"/>
        <v>40663</v>
      </c>
      <c r="B113" s="16">
        <v>447300</v>
      </c>
      <c r="C113" s="16">
        <v>347400</v>
      </c>
      <c r="D113" s="16">
        <v>264200</v>
      </c>
      <c r="E113" s="16">
        <v>225700</v>
      </c>
      <c r="F113" s="16">
        <v>235400</v>
      </c>
      <c r="G113" s="16">
        <v>230800</v>
      </c>
      <c r="H113" s="16">
        <v>252000</v>
      </c>
      <c r="I113" s="16">
        <v>222000</v>
      </c>
      <c r="J113" s="16">
        <v>221900</v>
      </c>
      <c r="K113" s="16">
        <v>232200</v>
      </c>
      <c r="L113" s="16"/>
      <c r="M113" s="16">
        <v>149500</v>
      </c>
      <c r="N113" s="17">
        <f t="shared" si="3"/>
        <v>257127.27272727274</v>
      </c>
    </row>
    <row r="114" spans="1:14" s="18" customFormat="1" x14ac:dyDescent="0.25">
      <c r="A114" s="15">
        <f t="shared" si="2"/>
        <v>40694</v>
      </c>
      <c r="B114" s="16">
        <v>443900</v>
      </c>
      <c r="C114" s="16">
        <v>342500</v>
      </c>
      <c r="D114" s="16">
        <v>264300</v>
      </c>
      <c r="E114" s="16">
        <v>226700</v>
      </c>
      <c r="F114" s="16">
        <v>231900</v>
      </c>
      <c r="G114" s="16">
        <v>231400</v>
      </c>
      <c r="H114" s="16">
        <v>258200</v>
      </c>
      <c r="I114" s="16">
        <v>227700</v>
      </c>
      <c r="J114" s="16">
        <v>222900</v>
      </c>
      <c r="K114" s="16">
        <v>235500</v>
      </c>
      <c r="L114" s="16"/>
      <c r="M114" s="16">
        <v>147000</v>
      </c>
      <c r="N114" s="17">
        <f t="shared" si="3"/>
        <v>257454.54545454544</v>
      </c>
    </row>
    <row r="115" spans="1:14" s="18" customFormat="1" x14ac:dyDescent="0.25">
      <c r="A115" s="15">
        <f t="shared" si="2"/>
        <v>40724</v>
      </c>
      <c r="B115" s="16">
        <v>441000</v>
      </c>
      <c r="C115" s="16">
        <v>342000</v>
      </c>
      <c r="D115" s="16">
        <v>262700</v>
      </c>
      <c r="E115" s="16">
        <v>223800</v>
      </c>
      <c r="F115" s="16">
        <v>234400</v>
      </c>
      <c r="G115" s="16">
        <v>227000</v>
      </c>
      <c r="H115" s="16">
        <v>261400</v>
      </c>
      <c r="I115" s="16">
        <v>225600</v>
      </c>
      <c r="J115" s="16">
        <v>221100</v>
      </c>
      <c r="K115" s="16">
        <v>236700</v>
      </c>
      <c r="L115" s="16"/>
      <c r="M115" s="16">
        <v>148700</v>
      </c>
      <c r="N115" s="17">
        <f t="shared" si="3"/>
        <v>256763.63636363635</v>
      </c>
    </row>
    <row r="116" spans="1:14" s="18" customFormat="1" x14ac:dyDescent="0.25">
      <c r="A116" s="15">
        <f t="shared" si="2"/>
        <v>40755</v>
      </c>
      <c r="B116" s="16">
        <v>440200</v>
      </c>
      <c r="C116" s="16">
        <v>344600</v>
      </c>
      <c r="D116" s="16">
        <v>262500</v>
      </c>
      <c r="E116" s="16">
        <v>226300</v>
      </c>
      <c r="F116" s="16">
        <v>240000</v>
      </c>
      <c r="G116" s="16">
        <v>223800</v>
      </c>
      <c r="H116" s="16">
        <v>260400</v>
      </c>
      <c r="I116" s="16">
        <v>224800</v>
      </c>
      <c r="J116" s="16">
        <v>225700</v>
      </c>
      <c r="K116" s="16">
        <v>240400</v>
      </c>
      <c r="L116" s="16"/>
      <c r="M116" s="16">
        <v>146400</v>
      </c>
      <c r="N116" s="17">
        <f t="shared" si="3"/>
        <v>257736.36363636365</v>
      </c>
    </row>
    <row r="117" spans="1:14" s="18" customFormat="1" x14ac:dyDescent="0.25">
      <c r="A117" s="15">
        <f t="shared" si="2"/>
        <v>40786</v>
      </c>
      <c r="B117" s="16">
        <v>438200</v>
      </c>
      <c r="C117" s="16">
        <v>337800</v>
      </c>
      <c r="D117" s="16">
        <v>262900</v>
      </c>
      <c r="E117" s="16">
        <v>226600</v>
      </c>
      <c r="F117" s="16">
        <v>234300</v>
      </c>
      <c r="G117" s="16">
        <v>223100</v>
      </c>
      <c r="H117" s="16">
        <v>258100</v>
      </c>
      <c r="I117" s="16">
        <v>221200</v>
      </c>
      <c r="J117" s="16">
        <v>227400</v>
      </c>
      <c r="K117" s="16">
        <v>247400</v>
      </c>
      <c r="L117" s="16"/>
      <c r="M117" s="16">
        <v>145400</v>
      </c>
      <c r="N117" s="17">
        <f t="shared" si="3"/>
        <v>256581.81818181818</v>
      </c>
    </row>
    <row r="118" spans="1:14" s="18" customFormat="1" x14ac:dyDescent="0.25">
      <c r="A118" s="15">
        <f t="shared" si="2"/>
        <v>40816</v>
      </c>
      <c r="B118" s="16">
        <v>436200</v>
      </c>
      <c r="C118" s="16">
        <v>337900</v>
      </c>
      <c r="D118" s="16">
        <v>265600</v>
      </c>
      <c r="E118" s="16">
        <v>222100</v>
      </c>
      <c r="F118" s="16">
        <v>232100</v>
      </c>
      <c r="G118" s="16">
        <v>228900</v>
      </c>
      <c r="H118" s="16">
        <v>256300</v>
      </c>
      <c r="I118" s="16">
        <v>222800</v>
      </c>
      <c r="J118" s="16">
        <v>224500</v>
      </c>
      <c r="K118" s="16">
        <v>250500</v>
      </c>
      <c r="L118" s="16"/>
      <c r="M118" s="16">
        <v>144200</v>
      </c>
      <c r="N118" s="17">
        <f t="shared" si="3"/>
        <v>256463.63636363635</v>
      </c>
    </row>
    <row r="119" spans="1:14" s="18" customFormat="1" x14ac:dyDescent="0.25">
      <c r="A119" s="15">
        <f t="shared" si="2"/>
        <v>40847</v>
      </c>
      <c r="B119" s="16">
        <v>436100</v>
      </c>
      <c r="C119" s="16">
        <v>342000</v>
      </c>
      <c r="D119" s="16">
        <v>265900</v>
      </c>
      <c r="E119" s="16">
        <v>227700</v>
      </c>
      <c r="F119" s="16">
        <v>226700</v>
      </c>
      <c r="G119" s="16">
        <v>233400</v>
      </c>
      <c r="H119" s="16">
        <v>253000</v>
      </c>
      <c r="I119" s="16">
        <v>226500</v>
      </c>
      <c r="J119" s="16">
        <v>223100</v>
      </c>
      <c r="K119" s="16">
        <v>248900</v>
      </c>
      <c r="L119" s="16"/>
      <c r="M119" s="16">
        <v>140100</v>
      </c>
      <c r="N119" s="17">
        <f t="shared" si="3"/>
        <v>256672.72727272726</v>
      </c>
    </row>
    <row r="120" spans="1:14" s="18" customFormat="1" x14ac:dyDescent="0.25">
      <c r="A120" s="15">
        <f t="shared" si="2"/>
        <v>40877</v>
      </c>
      <c r="B120" s="16">
        <v>452000</v>
      </c>
      <c r="C120" s="16">
        <v>335300</v>
      </c>
      <c r="D120" s="16">
        <v>260800</v>
      </c>
      <c r="E120" s="16">
        <v>232200</v>
      </c>
      <c r="F120" s="16">
        <v>232900</v>
      </c>
      <c r="G120" s="16">
        <v>232500</v>
      </c>
      <c r="H120" s="16">
        <v>257000</v>
      </c>
      <c r="I120" s="16">
        <v>232800</v>
      </c>
      <c r="J120" s="16">
        <v>220700</v>
      </c>
      <c r="K120" s="16">
        <v>242200</v>
      </c>
      <c r="L120" s="16"/>
      <c r="M120" s="16">
        <v>140100</v>
      </c>
      <c r="N120" s="17">
        <f t="shared" si="3"/>
        <v>258045.45454545456</v>
      </c>
    </row>
    <row r="121" spans="1:14" s="18" customFormat="1" x14ac:dyDescent="0.25">
      <c r="A121" s="15">
        <f t="shared" si="2"/>
        <v>40908</v>
      </c>
      <c r="B121" s="16">
        <v>426395</v>
      </c>
      <c r="C121" s="16">
        <v>339761</v>
      </c>
      <c r="D121" s="16">
        <v>264833</v>
      </c>
      <c r="E121" s="16">
        <v>229554</v>
      </c>
      <c r="F121" s="16">
        <v>233915</v>
      </c>
      <c r="G121" s="16">
        <v>231482</v>
      </c>
      <c r="H121" s="16">
        <v>256476</v>
      </c>
      <c r="I121" s="16">
        <v>227193</v>
      </c>
      <c r="J121" s="16">
        <v>224419</v>
      </c>
      <c r="K121" s="16">
        <v>239224</v>
      </c>
      <c r="L121" s="16"/>
      <c r="M121" s="16">
        <v>147187</v>
      </c>
      <c r="N121" s="17">
        <f t="shared" si="3"/>
        <v>256403.54545454544</v>
      </c>
    </row>
    <row r="122" spans="1:14" s="18" customFormat="1" x14ac:dyDescent="0.25">
      <c r="A122" s="15">
        <f t="shared" si="2"/>
        <v>40939</v>
      </c>
      <c r="B122" s="16">
        <v>400790</v>
      </c>
      <c r="C122" s="16">
        <v>335300</v>
      </c>
      <c r="D122" s="16">
        <v>260800</v>
      </c>
      <c r="E122" s="16">
        <v>226908</v>
      </c>
      <c r="F122" s="16">
        <v>234930</v>
      </c>
      <c r="G122" s="16">
        <v>230464</v>
      </c>
      <c r="H122" s="16">
        <v>255952</v>
      </c>
      <c r="I122" s="16">
        <v>221586</v>
      </c>
      <c r="J122" s="16">
        <v>220700</v>
      </c>
      <c r="K122" s="16">
        <v>236248</v>
      </c>
      <c r="L122" s="16"/>
      <c r="M122" s="16">
        <v>140100</v>
      </c>
      <c r="N122" s="17">
        <f t="shared" si="3"/>
        <v>251252.54545454544</v>
      </c>
    </row>
    <row r="123" spans="1:14" s="18" customFormat="1" x14ac:dyDescent="0.25">
      <c r="A123" s="15">
        <f t="shared" si="2"/>
        <v>40968</v>
      </c>
      <c r="B123" s="16">
        <v>400000</v>
      </c>
      <c r="C123" s="16">
        <v>334000</v>
      </c>
      <c r="D123" s="16">
        <v>260100</v>
      </c>
      <c r="E123" s="16">
        <v>225000</v>
      </c>
      <c r="F123" s="16">
        <v>233400</v>
      </c>
      <c r="G123" s="16">
        <v>229100</v>
      </c>
      <c r="H123" s="16">
        <v>254600</v>
      </c>
      <c r="I123" s="16">
        <v>221000</v>
      </c>
      <c r="J123" s="16">
        <v>219800</v>
      </c>
      <c r="K123" s="16">
        <v>234000</v>
      </c>
      <c r="L123" s="16"/>
      <c r="M123" s="16">
        <v>140100</v>
      </c>
      <c r="N123" s="17">
        <f t="shared" si="3"/>
        <v>250100</v>
      </c>
    </row>
    <row r="124" spans="1:14" s="18" customFormat="1" x14ac:dyDescent="0.25">
      <c r="A124" s="15">
        <f t="shared" si="2"/>
        <v>40999</v>
      </c>
      <c r="B124" s="16">
        <v>400000</v>
      </c>
      <c r="C124" s="16">
        <v>333050</v>
      </c>
      <c r="D124" s="16">
        <v>260000</v>
      </c>
      <c r="E124" s="16">
        <v>225050</v>
      </c>
      <c r="F124" s="16">
        <v>233100</v>
      </c>
      <c r="G124" s="16">
        <v>229000</v>
      </c>
      <c r="H124" s="16">
        <v>254500</v>
      </c>
      <c r="I124" s="16">
        <v>221050</v>
      </c>
      <c r="J124" s="16">
        <v>219750</v>
      </c>
      <c r="K124" s="16">
        <v>233000</v>
      </c>
      <c r="L124" s="16"/>
      <c r="M124" s="16">
        <v>140100</v>
      </c>
      <c r="N124" s="17">
        <f t="shared" si="3"/>
        <v>249872.72727272726</v>
      </c>
    </row>
    <row r="125" spans="1:14" s="18" customFormat="1" x14ac:dyDescent="0.25">
      <c r="A125" s="15">
        <f t="shared" si="2"/>
        <v>41029</v>
      </c>
      <c r="B125" s="16">
        <v>405000</v>
      </c>
      <c r="C125" s="16">
        <v>335000</v>
      </c>
      <c r="D125" s="16">
        <v>262300</v>
      </c>
      <c r="E125" s="16">
        <v>225100</v>
      </c>
      <c r="F125" s="16">
        <v>233100</v>
      </c>
      <c r="G125" s="16">
        <v>231000</v>
      </c>
      <c r="H125" s="16">
        <v>257500</v>
      </c>
      <c r="I125" s="16">
        <v>225050</v>
      </c>
      <c r="J125" s="16">
        <v>222000</v>
      </c>
      <c r="K125" s="16">
        <v>235100</v>
      </c>
      <c r="L125" s="16"/>
      <c r="M125" s="16">
        <v>140100</v>
      </c>
      <c r="N125" s="17">
        <f t="shared" si="3"/>
        <v>251931.81818181818</v>
      </c>
    </row>
    <row r="126" spans="1:14" s="18" customFormat="1" x14ac:dyDescent="0.25">
      <c r="A126" s="15">
        <f t="shared" si="2"/>
        <v>41060</v>
      </c>
      <c r="B126" s="16">
        <v>412000</v>
      </c>
      <c r="C126" s="16">
        <v>339100</v>
      </c>
      <c r="D126" s="16">
        <v>266100</v>
      </c>
      <c r="E126" s="16">
        <v>228400</v>
      </c>
      <c r="F126" s="16">
        <v>236050</v>
      </c>
      <c r="G126" s="16">
        <v>235100</v>
      </c>
      <c r="H126" s="16">
        <v>260000</v>
      </c>
      <c r="I126" s="16">
        <v>227000</v>
      </c>
      <c r="J126" s="16">
        <v>226000</v>
      </c>
      <c r="K126" s="16">
        <v>238050</v>
      </c>
      <c r="L126" s="16"/>
      <c r="M126" s="16">
        <v>140200</v>
      </c>
      <c r="N126" s="17">
        <f t="shared" si="3"/>
        <v>255272.72727272726</v>
      </c>
    </row>
    <row r="127" spans="1:14" s="18" customFormat="1" x14ac:dyDescent="0.25">
      <c r="A127" s="15">
        <f t="shared" si="2"/>
        <v>41090</v>
      </c>
      <c r="B127" s="16">
        <v>414000</v>
      </c>
      <c r="C127" s="16">
        <v>342050</v>
      </c>
      <c r="D127" s="16">
        <v>269150</v>
      </c>
      <c r="E127" s="16">
        <v>230250</v>
      </c>
      <c r="F127" s="16">
        <v>238100</v>
      </c>
      <c r="G127" s="16">
        <v>237700</v>
      </c>
      <c r="H127" s="16">
        <v>262000</v>
      </c>
      <c r="I127" s="16">
        <v>229100</v>
      </c>
      <c r="J127" s="16">
        <v>227500</v>
      </c>
      <c r="K127" s="16">
        <v>241000</v>
      </c>
      <c r="L127" s="16"/>
      <c r="M127" s="16">
        <v>140200</v>
      </c>
      <c r="N127" s="17">
        <f t="shared" si="3"/>
        <v>257368.18181818182</v>
      </c>
    </row>
    <row r="128" spans="1:14" s="18" customFormat="1" x14ac:dyDescent="0.25">
      <c r="A128" s="15">
        <f t="shared" si="2"/>
        <v>41121</v>
      </c>
      <c r="B128" s="16">
        <v>415500</v>
      </c>
      <c r="C128" s="16">
        <v>342800</v>
      </c>
      <c r="D128" s="16">
        <v>270100</v>
      </c>
      <c r="E128" s="16">
        <v>232500</v>
      </c>
      <c r="F128" s="16">
        <v>238300</v>
      </c>
      <c r="G128" s="16">
        <v>238500</v>
      </c>
      <c r="H128" s="16">
        <v>263100</v>
      </c>
      <c r="I128" s="16">
        <v>229800</v>
      </c>
      <c r="J128" s="16">
        <v>228400</v>
      </c>
      <c r="K128" s="16">
        <v>243000</v>
      </c>
      <c r="L128" s="16"/>
      <c r="M128" s="16">
        <v>140200</v>
      </c>
      <c r="N128" s="17">
        <f t="shared" si="3"/>
        <v>258381.81818181818</v>
      </c>
    </row>
    <row r="129" spans="1:14" s="18" customFormat="1" x14ac:dyDescent="0.25">
      <c r="A129" s="15">
        <f t="shared" si="2"/>
        <v>41152</v>
      </c>
      <c r="B129" s="16">
        <v>416800</v>
      </c>
      <c r="C129" s="16">
        <v>343700</v>
      </c>
      <c r="D129" s="16">
        <v>272500</v>
      </c>
      <c r="E129" s="16">
        <v>235000</v>
      </c>
      <c r="F129" s="16">
        <v>239600</v>
      </c>
      <c r="G129" s="16">
        <v>240600</v>
      </c>
      <c r="H129" s="16">
        <v>265000</v>
      </c>
      <c r="I129" s="16">
        <v>231400</v>
      </c>
      <c r="J129" s="16">
        <v>229800</v>
      </c>
      <c r="K129" s="16">
        <v>245050</v>
      </c>
      <c r="L129" s="16"/>
      <c r="M129" s="16">
        <v>140500</v>
      </c>
      <c r="N129" s="17">
        <f t="shared" si="3"/>
        <v>259995.45454545456</v>
      </c>
    </row>
    <row r="130" spans="1:14" s="18" customFormat="1" x14ac:dyDescent="0.25">
      <c r="A130" s="15">
        <f t="shared" si="2"/>
        <v>41182</v>
      </c>
      <c r="B130" s="16">
        <v>418200</v>
      </c>
      <c r="C130" s="16">
        <v>346100</v>
      </c>
      <c r="D130" s="16">
        <v>274200</v>
      </c>
      <c r="E130" s="16">
        <v>237000</v>
      </c>
      <c r="F130" s="16">
        <v>240000</v>
      </c>
      <c r="G130" s="16">
        <v>243500</v>
      </c>
      <c r="H130" s="16">
        <v>266200</v>
      </c>
      <c r="I130" s="16">
        <v>234000</v>
      </c>
      <c r="J130" s="16">
        <v>231300</v>
      </c>
      <c r="K130" s="16">
        <v>246550</v>
      </c>
      <c r="L130" s="16"/>
      <c r="M130" s="16">
        <v>141000</v>
      </c>
      <c r="N130" s="17">
        <f t="shared" si="3"/>
        <v>261640.90909090909</v>
      </c>
    </row>
    <row r="131" spans="1:14" s="18" customFormat="1" x14ac:dyDescent="0.25">
      <c r="A131" s="15">
        <f t="shared" ref="A131:A194" si="4">IF(B131=0,"",EOMONTH(A130,1))</f>
        <v>41213</v>
      </c>
      <c r="B131" s="16">
        <v>419500</v>
      </c>
      <c r="C131" s="16">
        <v>347000</v>
      </c>
      <c r="D131" s="16">
        <v>276100</v>
      </c>
      <c r="E131" s="16">
        <v>239000</v>
      </c>
      <c r="F131" s="16">
        <v>241500</v>
      </c>
      <c r="G131" s="16">
        <v>245000</v>
      </c>
      <c r="H131" s="16">
        <v>267000</v>
      </c>
      <c r="I131" s="16">
        <v>235600</v>
      </c>
      <c r="J131" s="16">
        <v>232100</v>
      </c>
      <c r="K131" s="16">
        <v>248500</v>
      </c>
      <c r="L131" s="16"/>
      <c r="M131" s="16">
        <v>142000</v>
      </c>
      <c r="N131" s="17">
        <f t="shared" ref="N131:N194" si="5">IFERROR(AVERAGE(B131:M131),"")</f>
        <v>263027.27272727271</v>
      </c>
    </row>
    <row r="132" spans="1:14" s="18" customFormat="1" x14ac:dyDescent="0.25">
      <c r="A132" s="15">
        <f t="shared" si="4"/>
        <v>41243</v>
      </c>
      <c r="B132" s="16">
        <v>420300</v>
      </c>
      <c r="C132" s="16">
        <v>348000</v>
      </c>
      <c r="D132" s="16">
        <v>277000</v>
      </c>
      <c r="E132" s="16">
        <v>2415000</v>
      </c>
      <c r="F132" s="16">
        <v>242000</v>
      </c>
      <c r="G132" s="16">
        <v>247000</v>
      </c>
      <c r="H132" s="16">
        <v>267500</v>
      </c>
      <c r="I132" s="16">
        <v>237500</v>
      </c>
      <c r="J132" s="16">
        <v>233100</v>
      </c>
      <c r="K132" s="16">
        <v>249000</v>
      </c>
      <c r="L132" s="16"/>
      <c r="M132" s="16">
        <v>143500</v>
      </c>
      <c r="N132" s="17">
        <f t="shared" si="5"/>
        <v>461809.09090909088</v>
      </c>
    </row>
    <row r="133" spans="1:14" s="18" customFormat="1" x14ac:dyDescent="0.25">
      <c r="A133" s="15">
        <f t="shared" si="4"/>
        <v>41274</v>
      </c>
      <c r="B133" s="16">
        <v>421000</v>
      </c>
      <c r="C133" s="16">
        <v>349500</v>
      </c>
      <c r="D133" s="16">
        <v>278000</v>
      </c>
      <c r="E133" s="16">
        <v>242850</v>
      </c>
      <c r="F133" s="16">
        <v>242600</v>
      </c>
      <c r="G133" s="16">
        <v>248200</v>
      </c>
      <c r="H133" s="16">
        <v>268500</v>
      </c>
      <c r="I133" s="16">
        <v>239000</v>
      </c>
      <c r="J133" s="16">
        <v>234100</v>
      </c>
      <c r="K133" s="16">
        <v>250000</v>
      </c>
      <c r="L133" s="16"/>
      <c r="M133" s="16">
        <v>145000</v>
      </c>
      <c r="N133" s="17">
        <f t="shared" si="5"/>
        <v>265340.90909090912</v>
      </c>
    </row>
    <row r="134" spans="1:14" s="18" customFormat="1" x14ac:dyDescent="0.25">
      <c r="A134" s="15">
        <f t="shared" si="4"/>
        <v>41305</v>
      </c>
      <c r="B134" s="16">
        <v>422500</v>
      </c>
      <c r="C134" s="16">
        <v>350000</v>
      </c>
      <c r="D134" s="16">
        <v>279100</v>
      </c>
      <c r="E134" s="16">
        <v>243500</v>
      </c>
      <c r="F134" s="16">
        <v>243500</v>
      </c>
      <c r="G134" s="16">
        <v>249100</v>
      </c>
      <c r="H134" s="16">
        <v>269100</v>
      </c>
      <c r="I134" s="16">
        <v>240500</v>
      </c>
      <c r="J134" s="16">
        <v>235000</v>
      </c>
      <c r="K134" s="16">
        <v>255000</v>
      </c>
      <c r="L134" s="16"/>
      <c r="M134" s="16">
        <v>145100</v>
      </c>
      <c r="N134" s="17">
        <f t="shared" si="5"/>
        <v>266581.81818181818</v>
      </c>
    </row>
    <row r="135" spans="1:14" s="18" customFormat="1" x14ac:dyDescent="0.25">
      <c r="A135" s="15">
        <f t="shared" si="4"/>
        <v>41333</v>
      </c>
      <c r="B135" s="16">
        <v>424100</v>
      </c>
      <c r="C135" s="16">
        <v>352100</v>
      </c>
      <c r="D135" s="16">
        <v>280200</v>
      </c>
      <c r="E135" s="16">
        <v>245100</v>
      </c>
      <c r="F135" s="16">
        <v>245200</v>
      </c>
      <c r="G135" s="16">
        <v>251200</v>
      </c>
      <c r="H135" s="16">
        <v>269900</v>
      </c>
      <c r="I135" s="16">
        <v>243000</v>
      </c>
      <c r="J135" s="16">
        <v>235600</v>
      </c>
      <c r="K135" s="16">
        <v>255000</v>
      </c>
      <c r="L135" s="16"/>
      <c r="M135" s="16">
        <v>146200</v>
      </c>
      <c r="N135" s="17">
        <f t="shared" si="5"/>
        <v>267963.63636363635</v>
      </c>
    </row>
    <row r="136" spans="1:14" s="18" customFormat="1" x14ac:dyDescent="0.25">
      <c r="A136" s="15">
        <f t="shared" si="4"/>
        <v>41364</v>
      </c>
      <c r="B136" s="16">
        <v>426100</v>
      </c>
      <c r="C136" s="16">
        <v>353500</v>
      </c>
      <c r="D136" s="16">
        <v>281400</v>
      </c>
      <c r="E136" s="16">
        <v>248100</v>
      </c>
      <c r="F136" s="16">
        <v>247100</v>
      </c>
      <c r="G136" s="16">
        <v>252500</v>
      </c>
      <c r="H136" s="16">
        <v>272000</v>
      </c>
      <c r="I136" s="16">
        <v>245000</v>
      </c>
      <c r="J136" s="16">
        <v>237000</v>
      </c>
      <c r="K136" s="16">
        <v>256800</v>
      </c>
      <c r="L136" s="16"/>
      <c r="M136" s="16">
        <v>148000</v>
      </c>
      <c r="N136" s="17">
        <f t="shared" si="5"/>
        <v>269772.72727272729</v>
      </c>
    </row>
    <row r="137" spans="1:14" s="18" customFormat="1" x14ac:dyDescent="0.25">
      <c r="A137" s="15">
        <f t="shared" si="4"/>
        <v>41394</v>
      </c>
      <c r="B137" s="16">
        <v>428000</v>
      </c>
      <c r="C137" s="16">
        <v>355500</v>
      </c>
      <c r="D137" s="16">
        <v>282200</v>
      </c>
      <c r="E137" s="16">
        <v>250000</v>
      </c>
      <c r="F137" s="16">
        <v>248200</v>
      </c>
      <c r="G137" s="16">
        <v>254000</v>
      </c>
      <c r="H137" s="16">
        <v>273500</v>
      </c>
      <c r="I137" s="16">
        <v>246500</v>
      </c>
      <c r="J137" s="16">
        <v>238550</v>
      </c>
      <c r="K137" s="16">
        <v>258500</v>
      </c>
      <c r="L137" s="16"/>
      <c r="M137" s="16">
        <v>151000</v>
      </c>
      <c r="N137" s="17">
        <f t="shared" si="5"/>
        <v>271450</v>
      </c>
    </row>
    <row r="138" spans="1:14" s="18" customFormat="1" x14ac:dyDescent="0.25">
      <c r="A138" s="15">
        <f t="shared" si="4"/>
        <v>41425</v>
      </c>
      <c r="B138" s="16">
        <v>428000</v>
      </c>
      <c r="C138" s="16">
        <v>355500</v>
      </c>
      <c r="D138" s="16">
        <v>282300</v>
      </c>
      <c r="E138" s="16">
        <v>251000</v>
      </c>
      <c r="F138" s="16">
        <v>248500</v>
      </c>
      <c r="G138" s="16">
        <v>254250</v>
      </c>
      <c r="H138" s="16">
        <v>274200</v>
      </c>
      <c r="I138" s="16">
        <v>247200</v>
      </c>
      <c r="J138" s="16">
        <v>239000</v>
      </c>
      <c r="K138" s="16">
        <v>259100</v>
      </c>
      <c r="L138" s="16"/>
      <c r="M138" s="16">
        <v>151500</v>
      </c>
      <c r="N138" s="17">
        <f t="shared" si="5"/>
        <v>271868.18181818182</v>
      </c>
    </row>
    <row r="139" spans="1:14" s="18" customFormat="1" x14ac:dyDescent="0.25">
      <c r="A139" s="15">
        <f t="shared" si="4"/>
        <v>41455</v>
      </c>
      <c r="B139" s="16">
        <v>428000</v>
      </c>
      <c r="C139" s="16">
        <v>355500</v>
      </c>
      <c r="D139" s="16">
        <v>282300</v>
      </c>
      <c r="E139" s="16">
        <v>251000</v>
      </c>
      <c r="F139" s="16">
        <v>249000</v>
      </c>
      <c r="G139" s="16">
        <v>254250</v>
      </c>
      <c r="H139" s="16">
        <v>274200</v>
      </c>
      <c r="I139" s="16">
        <v>247200</v>
      </c>
      <c r="J139" s="16">
        <v>240000</v>
      </c>
      <c r="K139" s="16">
        <v>259100</v>
      </c>
      <c r="L139" s="16"/>
      <c r="M139" s="16">
        <v>152000</v>
      </c>
      <c r="N139" s="17">
        <f t="shared" si="5"/>
        <v>272050</v>
      </c>
    </row>
    <row r="140" spans="1:14" s="18" customFormat="1" x14ac:dyDescent="0.25">
      <c r="A140" s="15">
        <f t="shared" si="4"/>
        <v>41486</v>
      </c>
      <c r="B140" s="16">
        <v>428000</v>
      </c>
      <c r="C140" s="16">
        <v>356500</v>
      </c>
      <c r="D140" s="16">
        <v>282300</v>
      </c>
      <c r="E140" s="16">
        <v>251000</v>
      </c>
      <c r="F140" s="16">
        <v>249000</v>
      </c>
      <c r="G140" s="16">
        <v>255000</v>
      </c>
      <c r="H140" s="16">
        <v>274500</v>
      </c>
      <c r="I140" s="16">
        <v>248000</v>
      </c>
      <c r="J140" s="16">
        <v>241000</v>
      </c>
      <c r="K140" s="16">
        <v>259100</v>
      </c>
      <c r="L140" s="16"/>
      <c r="M140" s="16">
        <v>152200</v>
      </c>
      <c r="N140" s="17">
        <f t="shared" si="5"/>
        <v>272418.18181818182</v>
      </c>
    </row>
    <row r="141" spans="1:14" s="18" customFormat="1" x14ac:dyDescent="0.25">
      <c r="A141" s="15">
        <f t="shared" si="4"/>
        <v>41517</v>
      </c>
      <c r="B141" s="16">
        <v>428000</v>
      </c>
      <c r="C141" s="16">
        <v>356500</v>
      </c>
      <c r="D141" s="16">
        <v>282400</v>
      </c>
      <c r="E141" s="16">
        <v>251000</v>
      </c>
      <c r="F141" s="16">
        <v>249000</v>
      </c>
      <c r="G141" s="16">
        <v>255100</v>
      </c>
      <c r="H141" s="16">
        <v>274500</v>
      </c>
      <c r="I141" s="16">
        <v>248100</v>
      </c>
      <c r="J141" s="16">
        <v>241100</v>
      </c>
      <c r="K141" s="16">
        <v>259200</v>
      </c>
      <c r="L141" s="16"/>
      <c r="M141" s="16">
        <v>152200</v>
      </c>
      <c r="N141" s="17">
        <f t="shared" si="5"/>
        <v>272463.63636363635</v>
      </c>
    </row>
    <row r="142" spans="1:14" s="18" customFormat="1" x14ac:dyDescent="0.25">
      <c r="A142" s="15">
        <f t="shared" si="4"/>
        <v>41547</v>
      </c>
      <c r="B142" s="16">
        <v>428000</v>
      </c>
      <c r="C142" s="16">
        <v>356600</v>
      </c>
      <c r="D142" s="16">
        <v>282400</v>
      </c>
      <c r="E142" s="16">
        <v>251300</v>
      </c>
      <c r="F142" s="16">
        <v>249000</v>
      </c>
      <c r="G142" s="16">
        <v>255100</v>
      </c>
      <c r="H142" s="16">
        <v>275000</v>
      </c>
      <c r="I142" s="16">
        <v>248100</v>
      </c>
      <c r="J142" s="16">
        <v>241300</v>
      </c>
      <c r="K142" s="16">
        <v>259500</v>
      </c>
      <c r="L142" s="16"/>
      <c r="M142" s="16">
        <v>152500</v>
      </c>
      <c r="N142" s="17">
        <f t="shared" si="5"/>
        <v>272618.18181818182</v>
      </c>
    </row>
    <row r="143" spans="1:14" s="18" customFormat="1" x14ac:dyDescent="0.25">
      <c r="A143" s="15">
        <f t="shared" si="4"/>
        <v>41578</v>
      </c>
      <c r="B143" s="16">
        <v>428000</v>
      </c>
      <c r="C143" s="16">
        <v>356600</v>
      </c>
      <c r="D143" s="16">
        <v>282600</v>
      </c>
      <c r="E143" s="16">
        <v>251800</v>
      </c>
      <c r="F143" s="16">
        <v>249500</v>
      </c>
      <c r="G143" s="16">
        <v>255100</v>
      </c>
      <c r="H143" s="16">
        <v>275000</v>
      </c>
      <c r="I143" s="16">
        <v>248500</v>
      </c>
      <c r="J143" s="16">
        <v>241800</v>
      </c>
      <c r="K143" s="16">
        <v>260000</v>
      </c>
      <c r="L143" s="16"/>
      <c r="M143" s="16">
        <v>153000</v>
      </c>
      <c r="N143" s="17">
        <f t="shared" si="5"/>
        <v>272900</v>
      </c>
    </row>
    <row r="144" spans="1:14" s="18" customFormat="1" x14ac:dyDescent="0.25">
      <c r="A144" s="15">
        <f t="shared" si="4"/>
        <v>41608</v>
      </c>
      <c r="B144" s="16">
        <v>428000</v>
      </c>
      <c r="C144" s="16">
        <v>356600</v>
      </c>
      <c r="D144" s="16">
        <v>282600</v>
      </c>
      <c r="E144" s="16">
        <v>252000</v>
      </c>
      <c r="F144" s="16">
        <v>250000</v>
      </c>
      <c r="G144" s="16">
        <v>255800</v>
      </c>
      <c r="H144" s="16">
        <v>275000</v>
      </c>
      <c r="I144" s="16">
        <v>249000</v>
      </c>
      <c r="J144" s="16">
        <v>242000</v>
      </c>
      <c r="K144" s="16">
        <v>260000</v>
      </c>
      <c r="L144" s="16"/>
      <c r="M144" s="16">
        <v>154000</v>
      </c>
      <c r="N144" s="17">
        <f t="shared" si="5"/>
        <v>273181.81818181818</v>
      </c>
    </row>
    <row r="145" spans="1:14" s="18" customFormat="1" x14ac:dyDescent="0.25">
      <c r="A145" s="15">
        <f t="shared" si="4"/>
        <v>41639</v>
      </c>
      <c r="B145" s="16">
        <v>428000</v>
      </c>
      <c r="C145" s="16">
        <v>356600</v>
      </c>
      <c r="D145" s="16">
        <v>282600</v>
      </c>
      <c r="E145" s="16">
        <v>252000</v>
      </c>
      <c r="F145" s="16">
        <v>250500</v>
      </c>
      <c r="G145" s="16">
        <v>256000</v>
      </c>
      <c r="H145" s="16">
        <v>275000</v>
      </c>
      <c r="I145" s="16">
        <v>249300</v>
      </c>
      <c r="J145" s="16">
        <v>242000</v>
      </c>
      <c r="K145" s="16">
        <v>260000</v>
      </c>
      <c r="L145" s="16"/>
      <c r="M145" s="16">
        <v>154600</v>
      </c>
      <c r="N145" s="17">
        <f t="shared" si="5"/>
        <v>273327.27272727271</v>
      </c>
    </row>
    <row r="146" spans="1:14" s="18" customFormat="1" x14ac:dyDescent="0.25">
      <c r="A146" s="15">
        <f t="shared" si="4"/>
        <v>41670</v>
      </c>
      <c r="B146" s="16">
        <v>428000</v>
      </c>
      <c r="C146" s="16">
        <v>356600</v>
      </c>
      <c r="D146" s="16">
        <v>282700</v>
      </c>
      <c r="E146" s="16">
        <v>252000</v>
      </c>
      <c r="F146" s="16">
        <v>250500</v>
      </c>
      <c r="G146" s="16">
        <v>256000</v>
      </c>
      <c r="H146" s="16">
        <v>275150</v>
      </c>
      <c r="I146" s="16">
        <v>249300</v>
      </c>
      <c r="J146" s="16">
        <v>242000</v>
      </c>
      <c r="K146" s="16">
        <v>260000</v>
      </c>
      <c r="L146" s="16"/>
      <c r="M146" s="16">
        <v>154750</v>
      </c>
      <c r="N146" s="17">
        <f t="shared" si="5"/>
        <v>273363.63636363635</v>
      </c>
    </row>
    <row r="147" spans="1:14" s="18" customFormat="1" x14ac:dyDescent="0.25">
      <c r="A147" s="15">
        <f t="shared" si="4"/>
        <v>41698</v>
      </c>
      <c r="B147" s="16">
        <v>428000</v>
      </c>
      <c r="C147" s="16">
        <v>356600</v>
      </c>
      <c r="D147" s="16">
        <v>282700</v>
      </c>
      <c r="E147" s="16">
        <v>252000</v>
      </c>
      <c r="F147" s="16">
        <v>250600</v>
      </c>
      <c r="G147" s="16">
        <v>256100</v>
      </c>
      <c r="H147" s="16">
        <v>275150</v>
      </c>
      <c r="I147" s="16">
        <v>249400</v>
      </c>
      <c r="J147" s="16">
        <v>242000</v>
      </c>
      <c r="K147" s="16">
        <v>260000</v>
      </c>
      <c r="L147" s="16"/>
      <c r="M147" s="16">
        <v>154900</v>
      </c>
      <c r="N147" s="17">
        <f t="shared" si="5"/>
        <v>273404.54545454547</v>
      </c>
    </row>
    <row r="148" spans="1:14" s="18" customFormat="1" x14ac:dyDescent="0.25">
      <c r="A148" s="15">
        <f t="shared" si="4"/>
        <v>41729</v>
      </c>
      <c r="B148" s="16">
        <v>428000</v>
      </c>
      <c r="C148" s="16">
        <v>356600</v>
      </c>
      <c r="D148" s="16">
        <v>282700</v>
      </c>
      <c r="E148" s="16">
        <v>252300</v>
      </c>
      <c r="F148" s="16">
        <v>250600</v>
      </c>
      <c r="G148" s="16">
        <v>256100</v>
      </c>
      <c r="H148" s="16">
        <v>275150</v>
      </c>
      <c r="I148" s="16">
        <v>249400</v>
      </c>
      <c r="J148" s="16">
        <v>242000</v>
      </c>
      <c r="K148" s="16">
        <v>260200</v>
      </c>
      <c r="L148" s="16"/>
      <c r="M148" s="16">
        <v>154900</v>
      </c>
      <c r="N148" s="17">
        <f t="shared" si="5"/>
        <v>273450</v>
      </c>
    </row>
    <row r="149" spans="1:14" s="18" customFormat="1" x14ac:dyDescent="0.25">
      <c r="A149" s="15">
        <f t="shared" si="4"/>
        <v>41759</v>
      </c>
      <c r="B149" s="16">
        <v>428000</v>
      </c>
      <c r="C149" s="16">
        <v>356600</v>
      </c>
      <c r="D149" s="16">
        <v>282700</v>
      </c>
      <c r="E149" s="16">
        <v>252500</v>
      </c>
      <c r="F149" s="16">
        <v>250600</v>
      </c>
      <c r="G149" s="16">
        <v>256100</v>
      </c>
      <c r="H149" s="16">
        <v>275150</v>
      </c>
      <c r="I149" s="16">
        <v>249600</v>
      </c>
      <c r="J149" s="16">
        <v>242000</v>
      </c>
      <c r="K149" s="16">
        <v>260200</v>
      </c>
      <c r="L149" s="16"/>
      <c r="M149" s="16">
        <v>155100</v>
      </c>
      <c r="N149" s="17">
        <f t="shared" si="5"/>
        <v>273504.54545454547</v>
      </c>
    </row>
    <row r="150" spans="1:14" s="18" customFormat="1" x14ac:dyDescent="0.25">
      <c r="A150" s="15">
        <f t="shared" si="4"/>
        <v>41790</v>
      </c>
      <c r="B150" s="16">
        <v>428000</v>
      </c>
      <c r="C150" s="16">
        <v>356600</v>
      </c>
      <c r="D150" s="16">
        <v>282700</v>
      </c>
      <c r="E150" s="16">
        <v>252500</v>
      </c>
      <c r="F150" s="16">
        <v>250850</v>
      </c>
      <c r="G150" s="16">
        <v>256100</v>
      </c>
      <c r="H150" s="16">
        <v>275150</v>
      </c>
      <c r="I150" s="16">
        <v>249600</v>
      </c>
      <c r="J150" s="16">
        <v>242000</v>
      </c>
      <c r="K150" s="16">
        <v>260200</v>
      </c>
      <c r="L150" s="16"/>
      <c r="M150" s="16">
        <v>155800</v>
      </c>
      <c r="N150" s="17">
        <f t="shared" si="5"/>
        <v>273590.90909090912</v>
      </c>
    </row>
    <row r="151" spans="1:14" s="18" customFormat="1" x14ac:dyDescent="0.25">
      <c r="A151" s="15">
        <f t="shared" si="4"/>
        <v>41820</v>
      </c>
      <c r="B151" s="16">
        <v>428000</v>
      </c>
      <c r="C151" s="16">
        <v>356600</v>
      </c>
      <c r="D151" s="16">
        <v>282700</v>
      </c>
      <c r="E151" s="16">
        <v>252500</v>
      </c>
      <c r="F151" s="16">
        <v>250850</v>
      </c>
      <c r="G151" s="16">
        <v>256100</v>
      </c>
      <c r="H151" s="16">
        <v>275150</v>
      </c>
      <c r="I151" s="16">
        <v>249600</v>
      </c>
      <c r="J151" s="16">
        <v>242000</v>
      </c>
      <c r="K151" s="16">
        <v>260200</v>
      </c>
      <c r="L151" s="16"/>
      <c r="M151" s="16">
        <v>155800</v>
      </c>
      <c r="N151" s="17">
        <f t="shared" si="5"/>
        <v>273590.90909090912</v>
      </c>
    </row>
    <row r="152" spans="1:14" s="18" customFormat="1" x14ac:dyDescent="0.25">
      <c r="A152" s="15">
        <f t="shared" si="4"/>
        <v>41851</v>
      </c>
      <c r="B152" s="16">
        <v>428000</v>
      </c>
      <c r="C152" s="16">
        <v>356600</v>
      </c>
      <c r="D152" s="16">
        <v>282700</v>
      </c>
      <c r="E152" s="16">
        <v>252500</v>
      </c>
      <c r="F152" s="16">
        <v>250900</v>
      </c>
      <c r="G152" s="16">
        <v>256300</v>
      </c>
      <c r="H152" s="16">
        <v>275150</v>
      </c>
      <c r="I152" s="16">
        <v>249600</v>
      </c>
      <c r="J152" s="16">
        <v>242300</v>
      </c>
      <c r="K152" s="16">
        <v>260200</v>
      </c>
      <c r="L152" s="16"/>
      <c r="M152" s="16">
        <v>156000</v>
      </c>
      <c r="N152" s="17">
        <f t="shared" si="5"/>
        <v>273659.09090909088</v>
      </c>
    </row>
    <row r="153" spans="1:14" s="18" customFormat="1" x14ac:dyDescent="0.25">
      <c r="A153" s="15">
        <f t="shared" si="4"/>
        <v>41882</v>
      </c>
      <c r="B153" s="16">
        <v>428000</v>
      </c>
      <c r="C153" s="16">
        <v>356600</v>
      </c>
      <c r="D153" s="16">
        <v>282700</v>
      </c>
      <c r="E153" s="16">
        <v>252500</v>
      </c>
      <c r="F153" s="16">
        <v>250900</v>
      </c>
      <c r="G153" s="16">
        <v>256300</v>
      </c>
      <c r="H153" s="16">
        <v>275150</v>
      </c>
      <c r="I153" s="16">
        <v>249600</v>
      </c>
      <c r="J153" s="16">
        <v>242300</v>
      </c>
      <c r="K153" s="16">
        <v>260200</v>
      </c>
      <c r="L153" s="16"/>
      <c r="M153" s="16">
        <v>156000</v>
      </c>
      <c r="N153" s="17">
        <f t="shared" si="5"/>
        <v>273659.09090909088</v>
      </c>
    </row>
    <row r="154" spans="1:14" s="18" customFormat="1" x14ac:dyDescent="0.25">
      <c r="A154" s="15">
        <f t="shared" si="4"/>
        <v>41912</v>
      </c>
      <c r="B154" s="16">
        <v>428000</v>
      </c>
      <c r="C154" s="16">
        <v>356600</v>
      </c>
      <c r="D154" s="16">
        <v>282700</v>
      </c>
      <c r="E154" s="16">
        <v>252700</v>
      </c>
      <c r="F154" s="16">
        <v>250900</v>
      </c>
      <c r="G154" s="16">
        <v>256500</v>
      </c>
      <c r="H154" s="16">
        <v>275200</v>
      </c>
      <c r="I154" s="16">
        <v>249600</v>
      </c>
      <c r="J154" s="16">
        <v>242500</v>
      </c>
      <c r="K154" s="16">
        <v>260200</v>
      </c>
      <c r="L154" s="16"/>
      <c r="M154" s="16">
        <v>156000</v>
      </c>
      <c r="N154" s="17">
        <f t="shared" si="5"/>
        <v>273718.18181818182</v>
      </c>
    </row>
    <row r="155" spans="1:14" s="18" customFormat="1" x14ac:dyDescent="0.25">
      <c r="A155" s="15">
        <f t="shared" si="4"/>
        <v>41943</v>
      </c>
      <c r="B155" s="16">
        <v>428000</v>
      </c>
      <c r="C155" s="16">
        <v>356600</v>
      </c>
      <c r="D155" s="16">
        <v>282700</v>
      </c>
      <c r="E155" s="16">
        <v>252800</v>
      </c>
      <c r="F155" s="16">
        <v>250950</v>
      </c>
      <c r="G155" s="16">
        <v>256600</v>
      </c>
      <c r="H155" s="16">
        <v>275200</v>
      </c>
      <c r="I155" s="16">
        <v>249600</v>
      </c>
      <c r="J155" s="16">
        <v>242500</v>
      </c>
      <c r="K155" s="16">
        <v>260200</v>
      </c>
      <c r="L155" s="16"/>
      <c r="M155" s="16">
        <v>156100</v>
      </c>
      <c r="N155" s="17">
        <f t="shared" si="5"/>
        <v>273750</v>
      </c>
    </row>
    <row r="156" spans="1:14" s="18" customFormat="1" x14ac:dyDescent="0.25">
      <c r="A156" s="15">
        <f t="shared" si="4"/>
        <v>41973</v>
      </c>
      <c r="B156" s="16">
        <v>428000</v>
      </c>
      <c r="C156" s="16">
        <v>356600</v>
      </c>
      <c r="D156" s="16">
        <v>282700</v>
      </c>
      <c r="E156" s="16">
        <v>252800</v>
      </c>
      <c r="F156" s="16">
        <v>251000</v>
      </c>
      <c r="G156" s="16">
        <v>256650</v>
      </c>
      <c r="H156" s="16">
        <v>275200</v>
      </c>
      <c r="I156" s="16">
        <v>249600</v>
      </c>
      <c r="J156" s="16">
        <v>242500</v>
      </c>
      <c r="K156" s="16">
        <v>260200</v>
      </c>
      <c r="L156" s="16"/>
      <c r="M156" s="16">
        <v>156150</v>
      </c>
      <c r="N156" s="17">
        <f t="shared" si="5"/>
        <v>273763.63636363635</v>
      </c>
    </row>
    <row r="157" spans="1:14" s="18" customFormat="1" x14ac:dyDescent="0.25">
      <c r="A157" s="15">
        <f t="shared" si="4"/>
        <v>42004</v>
      </c>
      <c r="B157" s="16">
        <v>428000</v>
      </c>
      <c r="C157" s="16">
        <v>356600</v>
      </c>
      <c r="D157" s="16">
        <v>282700</v>
      </c>
      <c r="E157" s="16">
        <v>252900</v>
      </c>
      <c r="F157" s="16">
        <v>251150</v>
      </c>
      <c r="G157" s="16">
        <v>256850</v>
      </c>
      <c r="H157" s="16">
        <v>275200</v>
      </c>
      <c r="I157" s="16">
        <v>249600</v>
      </c>
      <c r="J157" s="16">
        <v>242500</v>
      </c>
      <c r="K157" s="16">
        <v>260200</v>
      </c>
      <c r="L157" s="16"/>
      <c r="M157" s="16">
        <v>156200</v>
      </c>
      <c r="N157" s="17">
        <f t="shared" si="5"/>
        <v>273809.09090909088</v>
      </c>
    </row>
    <row r="158" spans="1:14" s="18" customFormat="1" x14ac:dyDescent="0.25">
      <c r="A158" s="15">
        <f t="shared" si="4"/>
        <v>42035</v>
      </c>
      <c r="B158" s="16">
        <v>428000</v>
      </c>
      <c r="C158" s="16">
        <v>356600</v>
      </c>
      <c r="D158" s="16">
        <v>282600</v>
      </c>
      <c r="E158" s="16">
        <v>252800</v>
      </c>
      <c r="F158" s="16">
        <v>251100</v>
      </c>
      <c r="G158" s="16">
        <v>256750</v>
      </c>
      <c r="H158" s="16">
        <v>275100</v>
      </c>
      <c r="I158" s="16">
        <v>249500</v>
      </c>
      <c r="J158" s="16">
        <v>242400</v>
      </c>
      <c r="K158" s="16">
        <v>260150</v>
      </c>
      <c r="L158" s="16"/>
      <c r="M158" s="16">
        <v>156200</v>
      </c>
      <c r="N158" s="17">
        <f t="shared" si="5"/>
        <v>273745.45454545453</v>
      </c>
    </row>
    <row r="159" spans="1:14" s="18" customFormat="1" x14ac:dyDescent="0.25">
      <c r="A159" s="15">
        <f t="shared" si="4"/>
        <v>42063</v>
      </c>
      <c r="B159" s="16">
        <v>428000</v>
      </c>
      <c r="C159" s="16">
        <v>356600</v>
      </c>
      <c r="D159" s="16">
        <v>282600</v>
      </c>
      <c r="E159" s="16">
        <v>253000</v>
      </c>
      <c r="F159" s="16">
        <v>251850</v>
      </c>
      <c r="G159" s="16">
        <v>256900</v>
      </c>
      <c r="H159" s="16">
        <v>275600</v>
      </c>
      <c r="I159" s="16">
        <v>249700</v>
      </c>
      <c r="J159" s="16">
        <v>243000</v>
      </c>
      <c r="K159" s="16">
        <v>260500</v>
      </c>
      <c r="L159" s="16"/>
      <c r="M159" s="16">
        <v>156600</v>
      </c>
      <c r="N159" s="17">
        <f t="shared" si="5"/>
        <v>274031.81818181818</v>
      </c>
    </row>
    <row r="160" spans="1:14" s="18" customFormat="1" x14ac:dyDescent="0.25">
      <c r="A160" s="15">
        <f t="shared" si="4"/>
        <v>42094</v>
      </c>
      <c r="B160" s="16">
        <v>428000</v>
      </c>
      <c r="C160" s="16">
        <v>356600</v>
      </c>
      <c r="D160" s="16">
        <v>282650</v>
      </c>
      <c r="E160" s="16">
        <v>253100</v>
      </c>
      <c r="F160" s="16">
        <v>251900</v>
      </c>
      <c r="G160" s="16">
        <v>256950</v>
      </c>
      <c r="H160" s="16">
        <v>275700</v>
      </c>
      <c r="I160" s="16">
        <v>249750</v>
      </c>
      <c r="J160" s="16">
        <v>243100</v>
      </c>
      <c r="K160" s="16">
        <v>260550</v>
      </c>
      <c r="L160" s="16"/>
      <c r="M160" s="16">
        <v>156600</v>
      </c>
      <c r="N160" s="17">
        <f t="shared" si="5"/>
        <v>274081.81818181818</v>
      </c>
    </row>
    <row r="161" spans="1:14" s="18" customFormat="1" x14ac:dyDescent="0.25">
      <c r="A161" s="15">
        <f t="shared" si="4"/>
        <v>42124</v>
      </c>
      <c r="B161" s="16">
        <v>428000</v>
      </c>
      <c r="C161" s="16">
        <v>356600</v>
      </c>
      <c r="D161" s="16">
        <v>282700</v>
      </c>
      <c r="E161" s="16">
        <v>253100</v>
      </c>
      <c r="F161" s="16">
        <v>251900</v>
      </c>
      <c r="G161" s="16">
        <v>257500</v>
      </c>
      <c r="H161" s="16">
        <v>275700</v>
      </c>
      <c r="I161" s="16">
        <v>250000</v>
      </c>
      <c r="J161" s="16">
        <v>243200</v>
      </c>
      <c r="K161" s="16">
        <v>260650</v>
      </c>
      <c r="L161" s="16"/>
      <c r="M161" s="16">
        <v>156750</v>
      </c>
      <c r="N161" s="17">
        <f t="shared" si="5"/>
        <v>274190.90909090912</v>
      </c>
    </row>
    <row r="162" spans="1:14" s="18" customFormat="1" x14ac:dyDescent="0.25">
      <c r="A162" s="15">
        <f t="shared" si="4"/>
        <v>42155</v>
      </c>
      <c r="B162" s="16">
        <v>428000</v>
      </c>
      <c r="C162" s="16">
        <v>356600</v>
      </c>
      <c r="D162" s="16">
        <v>282700</v>
      </c>
      <c r="E162" s="16">
        <v>253200</v>
      </c>
      <c r="F162" s="16">
        <v>252000</v>
      </c>
      <c r="G162" s="16">
        <v>257100</v>
      </c>
      <c r="H162" s="16">
        <v>275800</v>
      </c>
      <c r="I162" s="16">
        <v>250100</v>
      </c>
      <c r="J162" s="16">
        <v>243200</v>
      </c>
      <c r="K162" s="16">
        <v>260700</v>
      </c>
      <c r="L162" s="16"/>
      <c r="M162" s="16">
        <v>156750</v>
      </c>
      <c r="N162" s="17">
        <f t="shared" si="5"/>
        <v>274195.45454545453</v>
      </c>
    </row>
    <row r="163" spans="1:14" s="18" customFormat="1" x14ac:dyDescent="0.25">
      <c r="A163" s="15">
        <f t="shared" si="4"/>
        <v>42185</v>
      </c>
      <c r="B163" s="16">
        <v>428000</v>
      </c>
      <c r="C163" s="16">
        <v>356600</v>
      </c>
      <c r="D163" s="16">
        <v>282700</v>
      </c>
      <c r="E163" s="16">
        <v>253200</v>
      </c>
      <c r="F163" s="16">
        <v>252100</v>
      </c>
      <c r="G163" s="16">
        <v>257200</v>
      </c>
      <c r="H163" s="16">
        <v>275950</v>
      </c>
      <c r="I163" s="16">
        <v>250200</v>
      </c>
      <c r="J163" s="16">
        <v>243300</v>
      </c>
      <c r="K163" s="16">
        <v>260700</v>
      </c>
      <c r="L163" s="16"/>
      <c r="M163" s="16">
        <v>156800</v>
      </c>
      <c r="N163" s="17">
        <f t="shared" si="5"/>
        <v>274250</v>
      </c>
    </row>
    <row r="164" spans="1:14" s="18" customFormat="1" x14ac:dyDescent="0.25">
      <c r="A164" s="15">
        <f t="shared" si="4"/>
        <v>42216</v>
      </c>
      <c r="B164" s="16">
        <v>428000</v>
      </c>
      <c r="C164" s="16">
        <v>356600</v>
      </c>
      <c r="D164" s="16">
        <v>282700</v>
      </c>
      <c r="E164" s="16">
        <v>253250</v>
      </c>
      <c r="F164" s="16">
        <v>252100</v>
      </c>
      <c r="G164" s="16">
        <v>257250</v>
      </c>
      <c r="H164" s="16">
        <v>276000</v>
      </c>
      <c r="I164" s="16">
        <v>250200</v>
      </c>
      <c r="J164" s="16">
        <v>243350</v>
      </c>
      <c r="K164" s="16">
        <v>260700</v>
      </c>
      <c r="L164" s="16"/>
      <c r="M164" s="16">
        <v>156800</v>
      </c>
      <c r="N164" s="17">
        <f t="shared" si="5"/>
        <v>274268.18181818182</v>
      </c>
    </row>
    <row r="165" spans="1:14" s="18" customFormat="1" x14ac:dyDescent="0.25">
      <c r="A165" s="15">
        <f t="shared" si="4"/>
        <v>42247</v>
      </c>
      <c r="B165" s="16">
        <v>428000</v>
      </c>
      <c r="C165" s="16">
        <v>356600</v>
      </c>
      <c r="D165" s="16">
        <v>282750</v>
      </c>
      <c r="E165" s="16">
        <v>253300</v>
      </c>
      <c r="F165" s="16">
        <v>252100</v>
      </c>
      <c r="G165" s="16">
        <v>257250</v>
      </c>
      <c r="H165" s="16">
        <v>276000</v>
      </c>
      <c r="I165" s="16">
        <v>250250</v>
      </c>
      <c r="J165" s="16">
        <v>243400</v>
      </c>
      <c r="K165" s="16">
        <v>260750</v>
      </c>
      <c r="L165" s="16"/>
      <c r="M165" s="16">
        <v>156800</v>
      </c>
      <c r="N165" s="17">
        <f t="shared" si="5"/>
        <v>274290.90909090912</v>
      </c>
    </row>
    <row r="166" spans="1:14" s="18" customFormat="1" x14ac:dyDescent="0.25">
      <c r="A166" s="15">
        <f t="shared" si="4"/>
        <v>42277</v>
      </c>
      <c r="B166" s="16">
        <v>428000</v>
      </c>
      <c r="C166" s="16">
        <v>356700</v>
      </c>
      <c r="D166" s="16">
        <v>282800</v>
      </c>
      <c r="E166" s="16">
        <v>253400</v>
      </c>
      <c r="F166" s="16">
        <v>252150</v>
      </c>
      <c r="G166" s="16">
        <v>257300</v>
      </c>
      <c r="H166" s="16">
        <v>276150</v>
      </c>
      <c r="I166" s="16">
        <v>250300</v>
      </c>
      <c r="J166" s="16">
        <v>243450</v>
      </c>
      <c r="K166" s="16">
        <v>260800</v>
      </c>
      <c r="L166" s="16"/>
      <c r="M166" s="16">
        <v>156800</v>
      </c>
      <c r="N166" s="17">
        <f t="shared" si="5"/>
        <v>274350</v>
      </c>
    </row>
    <row r="167" spans="1:14" s="18" customFormat="1" x14ac:dyDescent="0.25">
      <c r="A167" s="15">
        <f t="shared" si="4"/>
        <v>42308</v>
      </c>
      <c r="B167" s="16">
        <v>428000</v>
      </c>
      <c r="C167" s="16">
        <v>356700</v>
      </c>
      <c r="D167" s="16">
        <v>282800</v>
      </c>
      <c r="E167" s="16">
        <v>253500</v>
      </c>
      <c r="F167" s="16">
        <v>252200</v>
      </c>
      <c r="G167" s="16">
        <v>257350</v>
      </c>
      <c r="H167" s="16">
        <v>276200</v>
      </c>
      <c r="I167" s="16">
        <v>250350</v>
      </c>
      <c r="J167" s="16">
        <v>243500</v>
      </c>
      <c r="K167" s="16">
        <v>260950</v>
      </c>
      <c r="L167" s="16"/>
      <c r="M167" s="16">
        <v>156900</v>
      </c>
      <c r="N167" s="17">
        <f t="shared" si="5"/>
        <v>274404.54545454547</v>
      </c>
    </row>
    <row r="168" spans="1:14" s="18" customFormat="1" x14ac:dyDescent="0.25">
      <c r="A168" s="15">
        <f t="shared" si="4"/>
        <v>42338</v>
      </c>
      <c r="B168" s="16">
        <v>428000</v>
      </c>
      <c r="C168" s="16">
        <v>356700</v>
      </c>
      <c r="D168" s="16">
        <v>282800</v>
      </c>
      <c r="E168" s="16">
        <v>253600</v>
      </c>
      <c r="F168" s="16">
        <v>252200</v>
      </c>
      <c r="G168" s="16">
        <v>257350</v>
      </c>
      <c r="H168" s="16">
        <v>276300</v>
      </c>
      <c r="I168" s="16">
        <v>250400</v>
      </c>
      <c r="J168" s="16">
        <v>243600</v>
      </c>
      <c r="K168" s="16">
        <v>261100</v>
      </c>
      <c r="L168" s="16"/>
      <c r="M168" s="16">
        <v>157000</v>
      </c>
      <c r="N168" s="17">
        <f t="shared" si="5"/>
        <v>274459.09090909088</v>
      </c>
    </row>
    <row r="169" spans="1:14" s="18" customFormat="1" x14ac:dyDescent="0.25">
      <c r="A169" s="15">
        <f t="shared" si="4"/>
        <v>42369</v>
      </c>
      <c r="B169" s="16">
        <v>428000</v>
      </c>
      <c r="C169" s="16">
        <v>356700</v>
      </c>
      <c r="D169" s="16">
        <v>282800</v>
      </c>
      <c r="E169" s="16">
        <v>253600</v>
      </c>
      <c r="F169" s="16">
        <v>252200</v>
      </c>
      <c r="G169" s="16">
        <v>257350</v>
      </c>
      <c r="H169" s="16">
        <v>276300</v>
      </c>
      <c r="I169" s="16">
        <v>250550</v>
      </c>
      <c r="J169" s="16">
        <v>243600</v>
      </c>
      <c r="K169" s="16">
        <v>261300</v>
      </c>
      <c r="L169" s="16"/>
      <c r="M169" s="16">
        <v>157000</v>
      </c>
      <c r="N169" s="17">
        <f t="shared" si="5"/>
        <v>274490.90909090912</v>
      </c>
    </row>
    <row r="170" spans="1:14" s="18" customFormat="1" x14ac:dyDescent="0.25">
      <c r="A170" s="15">
        <f t="shared" si="4"/>
        <v>42400</v>
      </c>
      <c r="B170" s="16">
        <v>428000</v>
      </c>
      <c r="C170" s="16">
        <v>356800</v>
      </c>
      <c r="D170" s="16">
        <v>282900</v>
      </c>
      <c r="E170" s="16">
        <v>253700</v>
      </c>
      <c r="F170" s="16">
        <v>252250</v>
      </c>
      <c r="G170" s="16">
        <v>257400</v>
      </c>
      <c r="H170" s="16">
        <v>276300</v>
      </c>
      <c r="I170" s="16">
        <v>250650</v>
      </c>
      <c r="J170" s="16">
        <v>243750</v>
      </c>
      <c r="K170" s="16">
        <v>261350</v>
      </c>
      <c r="L170" s="16"/>
      <c r="M170" s="16">
        <v>157500</v>
      </c>
      <c r="N170" s="17">
        <f t="shared" si="5"/>
        <v>274600</v>
      </c>
    </row>
    <row r="171" spans="1:14" s="18" customFormat="1" x14ac:dyDescent="0.25">
      <c r="A171" s="15">
        <f t="shared" si="4"/>
        <v>42429</v>
      </c>
      <c r="B171" s="16">
        <v>428000</v>
      </c>
      <c r="C171" s="16">
        <v>356900</v>
      </c>
      <c r="D171" s="16">
        <v>283000</v>
      </c>
      <c r="E171" s="16">
        <v>253800</v>
      </c>
      <c r="F171" s="16">
        <v>252300</v>
      </c>
      <c r="G171" s="16">
        <v>257500</v>
      </c>
      <c r="H171" s="16">
        <v>276500</v>
      </c>
      <c r="I171" s="16">
        <v>250750</v>
      </c>
      <c r="J171" s="16">
        <v>243850</v>
      </c>
      <c r="K171" s="16">
        <v>261450</v>
      </c>
      <c r="L171" s="16"/>
      <c r="M171" s="16">
        <v>157150</v>
      </c>
      <c r="N171" s="17">
        <f t="shared" si="5"/>
        <v>274654.54545454547</v>
      </c>
    </row>
    <row r="172" spans="1:14" s="18" customFormat="1" x14ac:dyDescent="0.25">
      <c r="A172" s="15">
        <f t="shared" si="4"/>
        <v>42460</v>
      </c>
      <c r="B172" s="16">
        <v>428000</v>
      </c>
      <c r="C172" s="16">
        <v>357000</v>
      </c>
      <c r="D172" s="16">
        <v>283000</v>
      </c>
      <c r="E172" s="16">
        <v>253950</v>
      </c>
      <c r="F172" s="16">
        <v>252300</v>
      </c>
      <c r="G172" s="16">
        <v>257600</v>
      </c>
      <c r="H172" s="16">
        <v>276550</v>
      </c>
      <c r="I172" s="16">
        <v>250850</v>
      </c>
      <c r="J172" s="16">
        <v>243950</v>
      </c>
      <c r="K172" s="16">
        <v>261500</v>
      </c>
      <c r="L172" s="16"/>
      <c r="M172" s="16">
        <v>157200</v>
      </c>
      <c r="N172" s="17">
        <f t="shared" si="5"/>
        <v>274718.18181818182</v>
      </c>
    </row>
    <row r="173" spans="1:14" s="18" customFormat="1" x14ac:dyDescent="0.25">
      <c r="A173" s="15">
        <f t="shared" si="4"/>
        <v>42490</v>
      </c>
      <c r="B173" s="16">
        <v>428000</v>
      </c>
      <c r="C173" s="16">
        <v>357000</v>
      </c>
      <c r="D173" s="16">
        <v>283100</v>
      </c>
      <c r="E173" s="16">
        <v>254150</v>
      </c>
      <c r="F173" s="16">
        <v>252300</v>
      </c>
      <c r="G173" s="16">
        <v>257600</v>
      </c>
      <c r="H173" s="16">
        <v>276650</v>
      </c>
      <c r="I173" s="16">
        <v>250900</v>
      </c>
      <c r="J173" s="16">
        <v>244000</v>
      </c>
      <c r="K173" s="16">
        <v>261500</v>
      </c>
      <c r="L173" s="16"/>
      <c r="M173" s="16">
        <v>157250</v>
      </c>
      <c r="N173" s="17">
        <f t="shared" si="5"/>
        <v>274768.18181818182</v>
      </c>
    </row>
    <row r="174" spans="1:14" s="18" customFormat="1" x14ac:dyDescent="0.25">
      <c r="A174" s="15">
        <f t="shared" si="4"/>
        <v>42521</v>
      </c>
      <c r="B174" s="16">
        <v>428000</v>
      </c>
      <c r="C174" s="16">
        <v>357100</v>
      </c>
      <c r="D174" s="16">
        <v>283100</v>
      </c>
      <c r="E174" s="16">
        <v>254200</v>
      </c>
      <c r="F174" s="16">
        <v>252300</v>
      </c>
      <c r="G174" s="16">
        <v>257600</v>
      </c>
      <c r="H174" s="16">
        <v>276650</v>
      </c>
      <c r="I174" s="16">
        <v>251000</v>
      </c>
      <c r="J174" s="16">
        <v>244500</v>
      </c>
      <c r="K174" s="16">
        <v>261600</v>
      </c>
      <c r="L174" s="16"/>
      <c r="M174" s="16">
        <v>157300</v>
      </c>
      <c r="N174" s="17">
        <f t="shared" si="5"/>
        <v>274850</v>
      </c>
    </row>
    <row r="175" spans="1:14" s="18" customFormat="1" x14ac:dyDescent="0.25">
      <c r="A175" s="15">
        <f t="shared" si="4"/>
        <v>42551</v>
      </c>
      <c r="B175" s="16">
        <v>428250</v>
      </c>
      <c r="C175" s="16">
        <v>357300</v>
      </c>
      <c r="D175" s="16">
        <v>283100</v>
      </c>
      <c r="E175" s="16">
        <v>254200</v>
      </c>
      <c r="F175" s="16">
        <v>252350</v>
      </c>
      <c r="G175" s="16">
        <v>257700</v>
      </c>
      <c r="H175" s="16">
        <v>276750</v>
      </c>
      <c r="I175" s="16">
        <v>251000</v>
      </c>
      <c r="J175" s="16">
        <v>244100</v>
      </c>
      <c r="K175" s="16">
        <v>261700</v>
      </c>
      <c r="L175" s="16"/>
      <c r="M175" s="16">
        <v>157350</v>
      </c>
      <c r="N175" s="17">
        <f t="shared" si="5"/>
        <v>274890.90909090912</v>
      </c>
    </row>
    <row r="176" spans="1:14" s="18" customFormat="1" x14ac:dyDescent="0.25">
      <c r="A176" s="15">
        <f t="shared" si="4"/>
        <v>42582</v>
      </c>
      <c r="B176" s="16">
        <v>428250</v>
      </c>
      <c r="C176" s="16">
        <v>357350</v>
      </c>
      <c r="D176" s="16">
        <v>283150</v>
      </c>
      <c r="E176" s="16">
        <v>254250</v>
      </c>
      <c r="F176" s="16">
        <v>252350</v>
      </c>
      <c r="G176" s="16">
        <v>257700</v>
      </c>
      <c r="H176" s="16">
        <v>276750</v>
      </c>
      <c r="I176" s="16">
        <v>251000</v>
      </c>
      <c r="J176" s="16">
        <v>244100</v>
      </c>
      <c r="K176" s="16">
        <v>261700</v>
      </c>
      <c r="L176" s="16"/>
      <c r="M176" s="16">
        <v>157400</v>
      </c>
      <c r="N176" s="17">
        <f t="shared" si="5"/>
        <v>274909.09090909088</v>
      </c>
    </row>
    <row r="177" spans="1:14" s="18" customFormat="1" x14ac:dyDescent="0.25">
      <c r="A177" s="15">
        <f t="shared" si="4"/>
        <v>42613</v>
      </c>
      <c r="B177" s="16">
        <v>428250</v>
      </c>
      <c r="C177" s="16">
        <v>357350</v>
      </c>
      <c r="D177" s="16">
        <v>283150</v>
      </c>
      <c r="E177" s="16">
        <v>254250</v>
      </c>
      <c r="F177" s="16">
        <v>252350</v>
      </c>
      <c r="G177" s="16">
        <v>257700</v>
      </c>
      <c r="H177" s="16">
        <v>276850</v>
      </c>
      <c r="I177" s="16">
        <v>251100</v>
      </c>
      <c r="J177" s="16">
        <v>244200</v>
      </c>
      <c r="K177" s="16">
        <v>261800</v>
      </c>
      <c r="L177" s="16"/>
      <c r="M177" s="16">
        <v>157450</v>
      </c>
      <c r="N177" s="17">
        <f t="shared" si="5"/>
        <v>274950</v>
      </c>
    </row>
    <row r="178" spans="1:14" s="18" customFormat="1" x14ac:dyDescent="0.25">
      <c r="A178" s="15">
        <f t="shared" si="4"/>
        <v>42643</v>
      </c>
      <c r="B178" s="16">
        <v>428250</v>
      </c>
      <c r="C178" s="16">
        <v>357350</v>
      </c>
      <c r="D178" s="16">
        <v>283150</v>
      </c>
      <c r="E178" s="16">
        <v>254300</v>
      </c>
      <c r="F178" s="16">
        <v>252350</v>
      </c>
      <c r="G178" s="16">
        <v>257750</v>
      </c>
      <c r="H178" s="16">
        <v>276900</v>
      </c>
      <c r="I178" s="16">
        <v>251100</v>
      </c>
      <c r="J178" s="16">
        <v>244200</v>
      </c>
      <c r="K178" s="16">
        <v>261800</v>
      </c>
      <c r="L178" s="16"/>
      <c r="M178" s="16">
        <v>157500</v>
      </c>
      <c r="N178" s="17">
        <f t="shared" si="5"/>
        <v>274968.18181818182</v>
      </c>
    </row>
    <row r="179" spans="1:14" s="18" customFormat="1" x14ac:dyDescent="0.25">
      <c r="A179" s="15">
        <f t="shared" si="4"/>
        <v>42674</v>
      </c>
      <c r="B179" s="16">
        <v>428250</v>
      </c>
      <c r="C179" s="16">
        <v>357350</v>
      </c>
      <c r="D179" s="16">
        <v>283250</v>
      </c>
      <c r="E179" s="16">
        <v>254400</v>
      </c>
      <c r="F179" s="16">
        <v>252500</v>
      </c>
      <c r="G179" s="16">
        <v>257900</v>
      </c>
      <c r="H179" s="16">
        <v>277000</v>
      </c>
      <c r="I179" s="16">
        <v>251200</v>
      </c>
      <c r="J179" s="16">
        <v>244200</v>
      </c>
      <c r="K179" s="16">
        <v>261900</v>
      </c>
      <c r="L179" s="16"/>
      <c r="M179" s="16">
        <v>157600</v>
      </c>
      <c r="N179" s="17">
        <f t="shared" si="5"/>
        <v>275050</v>
      </c>
    </row>
    <row r="180" spans="1:14" s="18" customFormat="1" x14ac:dyDescent="0.25">
      <c r="A180" s="15">
        <f t="shared" si="4"/>
        <v>42704</v>
      </c>
      <c r="B180" s="16">
        <v>428250</v>
      </c>
      <c r="C180" s="16">
        <v>357350</v>
      </c>
      <c r="D180" s="16">
        <v>283350</v>
      </c>
      <c r="E180" s="16">
        <v>254400</v>
      </c>
      <c r="F180" s="16">
        <v>252500</v>
      </c>
      <c r="G180" s="16">
        <v>258000</v>
      </c>
      <c r="H180" s="16">
        <v>277000</v>
      </c>
      <c r="I180" s="16">
        <v>251500</v>
      </c>
      <c r="J180" s="16">
        <v>244300</v>
      </c>
      <c r="K180" s="16">
        <v>261900</v>
      </c>
      <c r="L180" s="16"/>
      <c r="M180" s="16">
        <v>157600</v>
      </c>
      <c r="N180" s="17">
        <f t="shared" si="5"/>
        <v>275104.54545454547</v>
      </c>
    </row>
    <row r="181" spans="1:14" s="18" customFormat="1" x14ac:dyDescent="0.25">
      <c r="A181" s="15">
        <f t="shared" si="4"/>
        <v>42735</v>
      </c>
      <c r="B181" s="16">
        <v>428250</v>
      </c>
      <c r="C181" s="16">
        <v>357450</v>
      </c>
      <c r="D181" s="16">
        <v>283350</v>
      </c>
      <c r="E181" s="16">
        <v>254500</v>
      </c>
      <c r="F181" s="16">
        <v>252600</v>
      </c>
      <c r="G181" s="16">
        <v>258250</v>
      </c>
      <c r="H181" s="16">
        <v>277300</v>
      </c>
      <c r="I181" s="16">
        <v>251500</v>
      </c>
      <c r="J181" s="16">
        <v>244400</v>
      </c>
      <c r="K181" s="16">
        <v>262100</v>
      </c>
      <c r="L181" s="16"/>
      <c r="M181" s="16">
        <v>157700</v>
      </c>
      <c r="N181" s="17">
        <f t="shared" si="5"/>
        <v>275218.18181818182</v>
      </c>
    </row>
    <row r="182" spans="1:14" s="18" customFormat="1" x14ac:dyDescent="0.25">
      <c r="A182" s="15">
        <f t="shared" si="4"/>
        <v>42766</v>
      </c>
      <c r="B182" s="16">
        <v>428250</v>
      </c>
      <c r="C182" s="16">
        <v>357450</v>
      </c>
      <c r="D182" s="16">
        <v>281000</v>
      </c>
      <c r="E182" s="16">
        <v>254500</v>
      </c>
      <c r="F182" s="16">
        <v>249800</v>
      </c>
      <c r="G182" s="16">
        <v>256500</v>
      </c>
      <c r="H182" s="16">
        <v>277300</v>
      </c>
      <c r="I182" s="16">
        <v>250000</v>
      </c>
      <c r="J182" s="16">
        <v>242500</v>
      </c>
      <c r="K182" s="16">
        <v>261000</v>
      </c>
      <c r="L182" s="16"/>
      <c r="M182" s="16">
        <v>157700</v>
      </c>
      <c r="N182" s="17">
        <f t="shared" si="5"/>
        <v>274181.81818181818</v>
      </c>
    </row>
    <row r="183" spans="1:14" s="18" customFormat="1" x14ac:dyDescent="0.25">
      <c r="A183" s="15">
        <f t="shared" si="4"/>
        <v>42794</v>
      </c>
      <c r="B183" s="16">
        <v>428250</v>
      </c>
      <c r="C183" s="16">
        <v>357450</v>
      </c>
      <c r="D183" s="16">
        <v>280500</v>
      </c>
      <c r="E183" s="16">
        <v>254300</v>
      </c>
      <c r="F183" s="16">
        <v>249600</v>
      </c>
      <c r="G183" s="16">
        <v>256300</v>
      </c>
      <c r="H183" s="16">
        <v>277000</v>
      </c>
      <c r="I183" s="16">
        <v>249850</v>
      </c>
      <c r="J183" s="16">
        <v>242500</v>
      </c>
      <c r="K183" s="16">
        <v>261000</v>
      </c>
      <c r="L183" s="16"/>
      <c r="M183" s="16">
        <v>157700</v>
      </c>
      <c r="N183" s="17">
        <f t="shared" si="5"/>
        <v>274040.90909090912</v>
      </c>
    </row>
    <row r="184" spans="1:14" s="18" customFormat="1" x14ac:dyDescent="0.25">
      <c r="A184" s="15">
        <f t="shared" si="4"/>
        <v>42825</v>
      </c>
      <c r="B184" s="16">
        <v>428250</v>
      </c>
      <c r="C184" s="16">
        <v>357000</v>
      </c>
      <c r="D184" s="16">
        <v>276000</v>
      </c>
      <c r="E184" s="16">
        <v>249000</v>
      </c>
      <c r="F184" s="16">
        <v>245450</v>
      </c>
      <c r="G184" s="16">
        <v>250200</v>
      </c>
      <c r="H184" s="16">
        <v>265350</v>
      </c>
      <c r="I184" s="16">
        <v>247100</v>
      </c>
      <c r="J184" s="16">
        <v>238000</v>
      </c>
      <c r="K184" s="16">
        <v>256500</v>
      </c>
      <c r="L184" s="16"/>
      <c r="M184" s="16">
        <v>157700</v>
      </c>
      <c r="N184" s="17">
        <f t="shared" si="5"/>
        <v>270050</v>
      </c>
    </row>
    <row r="185" spans="1:14" s="18" customFormat="1" x14ac:dyDescent="0.25">
      <c r="A185" s="15">
        <f t="shared" si="4"/>
        <v>42855</v>
      </c>
      <c r="B185" s="16">
        <v>427000</v>
      </c>
      <c r="C185" s="16">
        <v>330000</v>
      </c>
      <c r="D185" s="16">
        <v>270000</v>
      </c>
      <c r="E185" s="16">
        <v>240000</v>
      </c>
      <c r="F185" s="16">
        <v>240000</v>
      </c>
      <c r="G185" s="16">
        <v>240100</v>
      </c>
      <c r="H185" s="16">
        <v>250200</v>
      </c>
      <c r="I185" s="16">
        <v>242000</v>
      </c>
      <c r="J185" s="16">
        <v>230000</v>
      </c>
      <c r="K185" s="16">
        <v>255000</v>
      </c>
      <c r="L185" s="16"/>
      <c r="M185" s="16">
        <v>156000</v>
      </c>
      <c r="N185" s="17">
        <f t="shared" si="5"/>
        <v>261845.45454545456</v>
      </c>
    </row>
    <row r="186" spans="1:14" s="18" customFormat="1" x14ac:dyDescent="0.25">
      <c r="A186" s="15">
        <f t="shared" si="4"/>
        <v>42886</v>
      </c>
      <c r="B186" s="16">
        <v>450000</v>
      </c>
      <c r="C186" s="16">
        <v>340000</v>
      </c>
      <c r="D186" s="16">
        <v>268000</v>
      </c>
      <c r="E186" s="16">
        <v>230000</v>
      </c>
      <c r="F186" s="16">
        <v>237000</v>
      </c>
      <c r="G186" s="16">
        <v>240000</v>
      </c>
      <c r="H186" s="16">
        <v>250000</v>
      </c>
      <c r="I186" s="16">
        <v>226250</v>
      </c>
      <c r="J186" s="16">
        <v>230000</v>
      </c>
      <c r="K186" s="16">
        <v>247600</v>
      </c>
      <c r="L186" s="16"/>
      <c r="M186" s="16">
        <v>156000</v>
      </c>
      <c r="N186" s="17">
        <f t="shared" si="5"/>
        <v>261350</v>
      </c>
    </row>
    <row r="187" spans="1:14" s="18" customFormat="1" x14ac:dyDescent="0.25">
      <c r="A187" s="15">
        <f t="shared" si="4"/>
        <v>42916</v>
      </c>
      <c r="B187" s="16">
        <v>451500</v>
      </c>
      <c r="C187" s="16">
        <v>341050</v>
      </c>
      <c r="D187" s="16">
        <v>268000</v>
      </c>
      <c r="E187" s="16">
        <v>230000</v>
      </c>
      <c r="F187" s="16">
        <v>237000</v>
      </c>
      <c r="G187" s="16">
        <v>240000</v>
      </c>
      <c r="H187" s="16">
        <v>250000</v>
      </c>
      <c r="I187" s="16">
        <v>226250</v>
      </c>
      <c r="J187" s="16">
        <v>230000</v>
      </c>
      <c r="K187" s="16">
        <v>248000</v>
      </c>
      <c r="L187" s="16"/>
      <c r="M187" s="16">
        <v>156000</v>
      </c>
      <c r="N187" s="17">
        <f t="shared" si="5"/>
        <v>261618.18181818182</v>
      </c>
    </row>
    <row r="188" spans="1:14" s="18" customFormat="1" x14ac:dyDescent="0.25">
      <c r="A188" s="15">
        <f t="shared" si="4"/>
        <v>42947</v>
      </c>
      <c r="B188" s="16">
        <v>452800</v>
      </c>
      <c r="C188" s="16">
        <v>342500</v>
      </c>
      <c r="D188" s="16">
        <v>268000</v>
      </c>
      <c r="E188" s="16">
        <v>230000</v>
      </c>
      <c r="F188" s="16">
        <v>237000</v>
      </c>
      <c r="G188" s="16">
        <v>240000</v>
      </c>
      <c r="H188" s="16">
        <v>250000</v>
      </c>
      <c r="I188" s="16">
        <v>226250</v>
      </c>
      <c r="J188" s="16">
        <v>230000</v>
      </c>
      <c r="K188" s="16">
        <v>248000</v>
      </c>
      <c r="L188" s="16"/>
      <c r="M188" s="16">
        <v>156000</v>
      </c>
      <c r="N188" s="17">
        <f t="shared" si="5"/>
        <v>261868.18181818182</v>
      </c>
    </row>
    <row r="189" spans="1:14" s="18" customFormat="1" x14ac:dyDescent="0.25">
      <c r="A189" s="15">
        <f t="shared" si="4"/>
        <v>42978</v>
      </c>
      <c r="B189" s="16">
        <v>452800</v>
      </c>
      <c r="C189" s="16">
        <v>342500</v>
      </c>
      <c r="D189" s="16">
        <v>266500</v>
      </c>
      <c r="E189" s="16">
        <v>229200</v>
      </c>
      <c r="F189" s="16">
        <v>236000</v>
      </c>
      <c r="G189" s="16">
        <v>240000</v>
      </c>
      <c r="H189" s="16">
        <v>251500</v>
      </c>
      <c r="I189" s="16">
        <v>226250</v>
      </c>
      <c r="J189" s="16">
        <v>230000</v>
      </c>
      <c r="K189" s="16">
        <v>247000</v>
      </c>
      <c r="L189" s="16"/>
      <c r="M189" s="16">
        <v>156000</v>
      </c>
      <c r="N189" s="17">
        <f t="shared" si="5"/>
        <v>261613.63636363635</v>
      </c>
    </row>
    <row r="190" spans="1:14" s="18" customFormat="1" x14ac:dyDescent="0.25">
      <c r="A190" s="15">
        <f t="shared" si="4"/>
        <v>43008</v>
      </c>
      <c r="B190" s="16">
        <v>452800</v>
      </c>
      <c r="C190" s="16">
        <v>343500</v>
      </c>
      <c r="D190" s="16">
        <v>267400</v>
      </c>
      <c r="E190" s="16">
        <v>229700</v>
      </c>
      <c r="F190" s="16">
        <v>236000</v>
      </c>
      <c r="G190" s="16">
        <v>241000</v>
      </c>
      <c r="H190" s="16">
        <v>252000</v>
      </c>
      <c r="I190" s="16">
        <v>227000</v>
      </c>
      <c r="J190" s="16">
        <v>231200</v>
      </c>
      <c r="K190" s="16">
        <v>247500</v>
      </c>
      <c r="L190" s="16"/>
      <c r="M190" s="16">
        <v>156000</v>
      </c>
      <c r="N190" s="17">
        <f t="shared" si="5"/>
        <v>262190.90909090912</v>
      </c>
    </row>
    <row r="191" spans="1:14" s="18" customFormat="1" x14ac:dyDescent="0.25">
      <c r="A191" s="15">
        <f t="shared" si="4"/>
        <v>43039</v>
      </c>
      <c r="B191" s="16">
        <v>455800</v>
      </c>
      <c r="C191" s="16">
        <v>343500</v>
      </c>
      <c r="D191" s="16">
        <v>267400</v>
      </c>
      <c r="E191" s="16">
        <v>231500</v>
      </c>
      <c r="F191" s="16">
        <v>238000</v>
      </c>
      <c r="G191" s="16">
        <v>243200</v>
      </c>
      <c r="H191" s="16">
        <v>254500</v>
      </c>
      <c r="I191" s="16">
        <v>228500</v>
      </c>
      <c r="J191" s="16">
        <v>232500</v>
      </c>
      <c r="K191" s="16">
        <v>248600</v>
      </c>
      <c r="L191" s="16"/>
      <c r="M191" s="16">
        <v>158000</v>
      </c>
      <c r="N191" s="17">
        <f t="shared" si="5"/>
        <v>263772.72727272729</v>
      </c>
    </row>
    <row r="192" spans="1:14" s="18" customFormat="1" x14ac:dyDescent="0.25">
      <c r="A192" s="15">
        <f t="shared" si="4"/>
        <v>43069</v>
      </c>
      <c r="B192" s="16">
        <v>456500</v>
      </c>
      <c r="C192" s="16">
        <v>344500</v>
      </c>
      <c r="D192" s="16">
        <v>267400</v>
      </c>
      <c r="E192" s="16">
        <v>231500</v>
      </c>
      <c r="F192" s="16">
        <v>236050</v>
      </c>
      <c r="G192" s="16">
        <v>243200</v>
      </c>
      <c r="H192" s="16">
        <v>255600</v>
      </c>
      <c r="I192" s="16">
        <v>229500</v>
      </c>
      <c r="J192" s="16">
        <v>233700</v>
      </c>
      <c r="K192" s="16">
        <v>248600</v>
      </c>
      <c r="L192" s="16"/>
      <c r="M192" s="16">
        <v>158500</v>
      </c>
      <c r="N192" s="17">
        <f t="shared" si="5"/>
        <v>264095.45454545453</v>
      </c>
    </row>
    <row r="193" spans="1:14" s="18" customFormat="1" x14ac:dyDescent="0.25">
      <c r="A193" s="15">
        <f t="shared" si="4"/>
        <v>43100</v>
      </c>
      <c r="B193" s="16">
        <v>465500</v>
      </c>
      <c r="C193" s="16">
        <v>350100</v>
      </c>
      <c r="D193" s="16">
        <v>267400</v>
      </c>
      <c r="E193" s="16">
        <v>234500</v>
      </c>
      <c r="F193" s="16">
        <v>238800</v>
      </c>
      <c r="G193" s="16">
        <v>245100</v>
      </c>
      <c r="H193" s="16">
        <v>260800</v>
      </c>
      <c r="I193" s="16">
        <v>232000</v>
      </c>
      <c r="J193" s="16">
        <v>235500</v>
      </c>
      <c r="K193" s="16">
        <v>249700</v>
      </c>
      <c r="L193" s="16"/>
      <c r="M193" s="16">
        <v>159600</v>
      </c>
      <c r="N193" s="17">
        <f t="shared" si="5"/>
        <v>267181.81818181818</v>
      </c>
    </row>
    <row r="194" spans="1:14" s="18" customFormat="1" x14ac:dyDescent="0.25">
      <c r="A194" s="15">
        <f t="shared" si="4"/>
        <v>43131</v>
      </c>
      <c r="B194" s="16">
        <v>485000</v>
      </c>
      <c r="C194" s="16">
        <v>358800</v>
      </c>
      <c r="D194" s="16">
        <v>269700</v>
      </c>
      <c r="E194" s="16">
        <v>237500</v>
      </c>
      <c r="F194" s="16">
        <v>240000</v>
      </c>
      <c r="G194" s="16">
        <v>248700</v>
      </c>
      <c r="H194" s="16">
        <v>270500</v>
      </c>
      <c r="I194" s="16">
        <v>236200</v>
      </c>
      <c r="J194" s="16">
        <v>235500</v>
      </c>
      <c r="K194" s="16">
        <v>250500</v>
      </c>
      <c r="L194" s="16"/>
      <c r="M194" s="16">
        <v>155300</v>
      </c>
      <c r="N194" s="17">
        <f t="shared" si="5"/>
        <v>271609.09090909088</v>
      </c>
    </row>
    <row r="195" spans="1:14" s="18" customFormat="1" x14ac:dyDescent="0.25">
      <c r="A195" s="15">
        <f t="shared" ref="A195:A238" si="6">IF(B195=0,"",EOMONTH(A194,1))</f>
        <v>43159</v>
      </c>
      <c r="B195" s="16">
        <v>487200</v>
      </c>
      <c r="C195" s="16">
        <v>358800</v>
      </c>
      <c r="D195" s="16">
        <v>271100</v>
      </c>
      <c r="E195" s="16">
        <v>237050</v>
      </c>
      <c r="F195" s="16">
        <v>242550</v>
      </c>
      <c r="G195" s="16">
        <v>248700</v>
      </c>
      <c r="H195" s="16">
        <v>275050</v>
      </c>
      <c r="I195" s="16">
        <v>238500</v>
      </c>
      <c r="J195" s="16">
        <v>236300</v>
      </c>
      <c r="K195" s="16">
        <v>253200</v>
      </c>
      <c r="L195" s="16"/>
      <c r="M195" s="16">
        <v>157100</v>
      </c>
      <c r="N195" s="17">
        <f t="shared" ref="N195:N258" si="7">IFERROR(AVERAGE(B195:M195),"")</f>
        <v>273231.81818181818</v>
      </c>
    </row>
    <row r="196" spans="1:14" s="18" customFormat="1" x14ac:dyDescent="0.25">
      <c r="A196" s="15">
        <f t="shared" si="6"/>
        <v>43190</v>
      </c>
      <c r="B196" s="16">
        <v>500900</v>
      </c>
      <c r="C196" s="16">
        <v>356600</v>
      </c>
      <c r="D196" s="16">
        <v>272500</v>
      </c>
      <c r="E196" s="16">
        <v>240750</v>
      </c>
      <c r="F196" s="16">
        <v>248550</v>
      </c>
      <c r="G196" s="16">
        <v>251900</v>
      </c>
      <c r="H196" s="16">
        <v>278050</v>
      </c>
      <c r="I196" s="16">
        <v>248000</v>
      </c>
      <c r="J196" s="16">
        <v>237300</v>
      </c>
      <c r="K196" s="16">
        <v>254200</v>
      </c>
      <c r="L196" s="16"/>
      <c r="M196" s="16">
        <v>160200</v>
      </c>
      <c r="N196" s="17">
        <f t="shared" si="7"/>
        <v>277177.27272727271</v>
      </c>
    </row>
    <row r="197" spans="1:14" s="18" customFormat="1" x14ac:dyDescent="0.25">
      <c r="A197" s="15">
        <f t="shared" si="6"/>
        <v>43220</v>
      </c>
      <c r="B197" s="16">
        <v>507200</v>
      </c>
      <c r="C197" s="16">
        <v>360100</v>
      </c>
      <c r="D197" s="16">
        <v>273700</v>
      </c>
      <c r="E197" s="16">
        <v>241900</v>
      </c>
      <c r="F197" s="16">
        <v>255500</v>
      </c>
      <c r="G197" s="16">
        <v>249000</v>
      </c>
      <c r="H197" s="16">
        <v>252100</v>
      </c>
      <c r="I197" s="16">
        <v>279600</v>
      </c>
      <c r="J197" s="16">
        <v>249300</v>
      </c>
      <c r="K197" s="16">
        <v>237900</v>
      </c>
      <c r="L197" s="16"/>
      <c r="M197" s="16">
        <v>163200</v>
      </c>
      <c r="N197" s="17">
        <f t="shared" si="7"/>
        <v>279045.45454545453</v>
      </c>
    </row>
    <row r="198" spans="1:14" s="18" customFormat="1" x14ac:dyDescent="0.25">
      <c r="A198" s="15">
        <f t="shared" si="6"/>
        <v>43251</v>
      </c>
      <c r="B198" s="16">
        <v>515000</v>
      </c>
      <c r="C198" s="16">
        <v>363500</v>
      </c>
      <c r="D198" s="16">
        <v>274000</v>
      </c>
      <c r="E198" s="16">
        <v>241900</v>
      </c>
      <c r="F198" s="16">
        <v>252500</v>
      </c>
      <c r="G198" s="16">
        <v>252400</v>
      </c>
      <c r="H198" s="16">
        <v>283400</v>
      </c>
      <c r="I198" s="16">
        <v>250100</v>
      </c>
      <c r="J198" s="16">
        <v>238000</v>
      </c>
      <c r="K198" s="16">
        <v>256700</v>
      </c>
      <c r="L198" s="16"/>
      <c r="M198" s="16">
        <v>168100</v>
      </c>
      <c r="N198" s="17">
        <f t="shared" si="7"/>
        <v>281418.18181818182</v>
      </c>
    </row>
    <row r="199" spans="1:14" s="18" customFormat="1" x14ac:dyDescent="0.25">
      <c r="A199" s="15">
        <f t="shared" si="6"/>
        <v>43281</v>
      </c>
      <c r="B199" s="16">
        <v>530000</v>
      </c>
      <c r="C199" s="16">
        <v>368950</v>
      </c>
      <c r="D199" s="16">
        <v>276100</v>
      </c>
      <c r="E199" s="16">
        <v>240000</v>
      </c>
      <c r="F199" s="16">
        <v>252050</v>
      </c>
      <c r="G199" s="16">
        <v>254000</v>
      </c>
      <c r="H199" s="16">
        <v>288200</v>
      </c>
      <c r="I199" s="16">
        <v>249700</v>
      </c>
      <c r="J199" s="16">
        <v>239800</v>
      </c>
      <c r="K199" s="16">
        <v>257300</v>
      </c>
      <c r="L199" s="16"/>
      <c r="M199" s="16">
        <v>166000</v>
      </c>
      <c r="N199" s="17">
        <f t="shared" si="7"/>
        <v>283827.27272727271</v>
      </c>
    </row>
    <row r="200" spans="1:14" s="18" customFormat="1" x14ac:dyDescent="0.25">
      <c r="A200" s="15">
        <f t="shared" si="6"/>
        <v>43312</v>
      </c>
      <c r="B200" s="16">
        <v>538000</v>
      </c>
      <c r="C200" s="16">
        <v>371250</v>
      </c>
      <c r="D200" s="16">
        <v>278200</v>
      </c>
      <c r="E200" s="16">
        <v>242300</v>
      </c>
      <c r="F200" s="16">
        <v>252050</v>
      </c>
      <c r="G200" s="16">
        <v>255500</v>
      </c>
      <c r="H200" s="16">
        <v>289500</v>
      </c>
      <c r="I200" s="16">
        <v>252200</v>
      </c>
      <c r="J200" s="16">
        <v>239200</v>
      </c>
      <c r="K200" s="16">
        <v>258100</v>
      </c>
      <c r="L200" s="16"/>
      <c r="M200" s="16">
        <v>167050</v>
      </c>
      <c r="N200" s="17">
        <f t="shared" si="7"/>
        <v>285759.09090909088</v>
      </c>
    </row>
    <row r="201" spans="1:14" s="18" customFormat="1" x14ac:dyDescent="0.25">
      <c r="A201" s="15">
        <f t="shared" si="6"/>
        <v>43343</v>
      </c>
      <c r="B201" s="16">
        <v>541800</v>
      </c>
      <c r="C201" s="16">
        <v>374600</v>
      </c>
      <c r="D201" s="16">
        <v>279200</v>
      </c>
      <c r="E201" s="16">
        <v>242500</v>
      </c>
      <c r="F201" s="16">
        <v>259800</v>
      </c>
      <c r="G201" s="16">
        <v>256900</v>
      </c>
      <c r="H201" s="16">
        <v>291000</v>
      </c>
      <c r="I201" s="16">
        <v>252200</v>
      </c>
      <c r="J201" s="16">
        <v>242000</v>
      </c>
      <c r="K201" s="16">
        <v>257600</v>
      </c>
      <c r="L201" s="16"/>
      <c r="M201" s="16">
        <v>167050</v>
      </c>
      <c r="N201" s="17">
        <f t="shared" si="7"/>
        <v>287695.45454545453</v>
      </c>
    </row>
    <row r="202" spans="1:14" s="18" customFormat="1" x14ac:dyDescent="0.25">
      <c r="A202" s="15">
        <f t="shared" si="6"/>
        <v>43373</v>
      </c>
      <c r="B202" s="16">
        <v>552000</v>
      </c>
      <c r="C202" s="16">
        <v>378900</v>
      </c>
      <c r="D202" s="16">
        <v>280200</v>
      </c>
      <c r="E202" s="16">
        <v>244400</v>
      </c>
      <c r="F202" s="16">
        <v>260800</v>
      </c>
      <c r="G202" s="16">
        <v>255000</v>
      </c>
      <c r="H202" s="16">
        <v>293200</v>
      </c>
      <c r="I202" s="16">
        <v>254050</v>
      </c>
      <c r="J202" s="16">
        <v>242200</v>
      </c>
      <c r="K202" s="16">
        <v>260700</v>
      </c>
      <c r="L202" s="16"/>
      <c r="M202" s="16">
        <v>168200</v>
      </c>
      <c r="N202" s="17">
        <f t="shared" si="7"/>
        <v>289968.18181818182</v>
      </c>
    </row>
    <row r="203" spans="1:14" s="18" customFormat="1" x14ac:dyDescent="0.25">
      <c r="A203" s="15">
        <f t="shared" si="6"/>
        <v>43404</v>
      </c>
      <c r="B203" s="16">
        <v>560600</v>
      </c>
      <c r="C203" s="16">
        <v>381200</v>
      </c>
      <c r="D203" s="16">
        <v>283000</v>
      </c>
      <c r="E203" s="16">
        <v>246700</v>
      </c>
      <c r="F203" s="16">
        <v>260800</v>
      </c>
      <c r="G203" s="16">
        <v>257800</v>
      </c>
      <c r="H203" s="16">
        <v>295000</v>
      </c>
      <c r="I203" s="16">
        <v>258100</v>
      </c>
      <c r="J203" s="16">
        <v>244200</v>
      </c>
      <c r="K203" s="16">
        <v>261000</v>
      </c>
      <c r="L203" s="16"/>
      <c r="M203" s="16">
        <v>169000</v>
      </c>
      <c r="N203" s="17">
        <f t="shared" si="7"/>
        <v>292490.90909090912</v>
      </c>
    </row>
    <row r="204" spans="1:14" s="18" customFormat="1" x14ac:dyDescent="0.25">
      <c r="A204" s="15">
        <f t="shared" si="6"/>
        <v>43434</v>
      </c>
      <c r="B204" s="16">
        <v>563800</v>
      </c>
      <c r="C204" s="16">
        <v>385200</v>
      </c>
      <c r="D204" s="16">
        <v>285600</v>
      </c>
      <c r="E204" s="16">
        <v>248600</v>
      </c>
      <c r="F204" s="16">
        <v>257000</v>
      </c>
      <c r="G204" s="16">
        <v>253200</v>
      </c>
      <c r="H204" s="16">
        <v>297000</v>
      </c>
      <c r="I204" s="16">
        <v>260200</v>
      </c>
      <c r="J204" s="16">
        <v>246200</v>
      </c>
      <c r="K204" s="16">
        <v>261000</v>
      </c>
      <c r="L204" s="16"/>
      <c r="M204" s="16">
        <v>170000</v>
      </c>
      <c r="N204" s="17">
        <f t="shared" si="7"/>
        <v>293436.36363636365</v>
      </c>
    </row>
    <row r="205" spans="1:14" s="18" customFormat="1" x14ac:dyDescent="0.25">
      <c r="A205" s="15">
        <f t="shared" si="6"/>
        <v>43465</v>
      </c>
      <c r="B205" s="16">
        <v>569000</v>
      </c>
      <c r="C205" s="16">
        <v>388000</v>
      </c>
      <c r="D205" s="16">
        <v>286200</v>
      </c>
      <c r="E205" s="16">
        <v>250000</v>
      </c>
      <c r="F205" s="16">
        <v>258500</v>
      </c>
      <c r="G205" s="16">
        <v>254200</v>
      </c>
      <c r="H205" s="16">
        <v>300000</v>
      </c>
      <c r="I205" s="16">
        <v>264500</v>
      </c>
      <c r="J205" s="16">
        <v>247050</v>
      </c>
      <c r="K205" s="16">
        <v>260500</v>
      </c>
      <c r="L205" s="16"/>
      <c r="M205" s="16">
        <v>173200</v>
      </c>
      <c r="N205" s="17">
        <f t="shared" si="7"/>
        <v>295559.09090909088</v>
      </c>
    </row>
    <row r="206" spans="1:14" s="18" customFormat="1" x14ac:dyDescent="0.25">
      <c r="A206" s="15">
        <f t="shared" si="6"/>
        <v>43496</v>
      </c>
      <c r="B206" s="16">
        <v>572000</v>
      </c>
      <c r="C206" s="16">
        <v>390000</v>
      </c>
      <c r="D206" s="16">
        <v>288500</v>
      </c>
      <c r="E206" s="16">
        <v>248000</v>
      </c>
      <c r="F206" s="16">
        <v>256000</v>
      </c>
      <c r="G206" s="16">
        <v>255800</v>
      </c>
      <c r="H206" s="16">
        <v>300000</v>
      </c>
      <c r="I206" s="16">
        <v>266100</v>
      </c>
      <c r="J206" s="16">
        <v>248000</v>
      </c>
      <c r="K206" s="16">
        <v>261000</v>
      </c>
      <c r="L206" s="16"/>
      <c r="M206" s="16">
        <v>171600</v>
      </c>
      <c r="N206" s="17">
        <f t="shared" si="7"/>
        <v>296090.90909090912</v>
      </c>
    </row>
    <row r="207" spans="1:14" s="18" customFormat="1" x14ac:dyDescent="0.25">
      <c r="A207" s="15">
        <f t="shared" si="6"/>
        <v>43524</v>
      </c>
      <c r="B207" s="16">
        <v>576500</v>
      </c>
      <c r="C207" s="16">
        <v>394100</v>
      </c>
      <c r="D207" s="16">
        <v>290000</v>
      </c>
      <c r="E207" s="16">
        <v>250000</v>
      </c>
      <c r="F207" s="16">
        <v>258000</v>
      </c>
      <c r="G207" s="16">
        <v>258000</v>
      </c>
      <c r="H207" s="16">
        <v>302000</v>
      </c>
      <c r="I207" s="16">
        <v>268000</v>
      </c>
      <c r="J207" s="16">
        <v>249000</v>
      </c>
      <c r="K207" s="16">
        <v>263000</v>
      </c>
      <c r="L207" s="16"/>
      <c r="M207" s="16">
        <v>171000</v>
      </c>
      <c r="N207" s="17">
        <f t="shared" si="7"/>
        <v>298145.45454545453</v>
      </c>
    </row>
    <row r="208" spans="1:14" s="18" customFormat="1" x14ac:dyDescent="0.25">
      <c r="A208" s="15">
        <f t="shared" si="6"/>
        <v>43555</v>
      </c>
      <c r="B208" s="16">
        <v>586200</v>
      </c>
      <c r="C208" s="16">
        <v>400000</v>
      </c>
      <c r="D208" s="16">
        <v>295000</v>
      </c>
      <c r="E208" s="16">
        <v>257000</v>
      </c>
      <c r="F208" s="16">
        <v>263000</v>
      </c>
      <c r="G208" s="16">
        <v>266000</v>
      </c>
      <c r="H208" s="16">
        <v>310100</v>
      </c>
      <c r="I208" s="16">
        <v>273000</v>
      </c>
      <c r="J208" s="16">
        <v>255000</v>
      </c>
      <c r="K208" s="16">
        <v>265700</v>
      </c>
      <c r="L208" s="16"/>
      <c r="M208" s="16">
        <v>172000</v>
      </c>
      <c r="N208" s="17">
        <f t="shared" si="7"/>
        <v>303909.09090909088</v>
      </c>
    </row>
    <row r="209" spans="1:14" s="18" customFormat="1" x14ac:dyDescent="0.25">
      <c r="A209" s="15">
        <f t="shared" si="6"/>
        <v>43585</v>
      </c>
      <c r="B209" s="16">
        <v>590000</v>
      </c>
      <c r="C209" s="16">
        <v>404100</v>
      </c>
      <c r="D209" s="16">
        <v>296100</v>
      </c>
      <c r="E209" s="16">
        <v>260000</v>
      </c>
      <c r="F209" s="16">
        <v>265000</v>
      </c>
      <c r="G209" s="16">
        <v>268000</v>
      </c>
      <c r="H209" s="16">
        <v>312000</v>
      </c>
      <c r="I209" s="16">
        <v>275000</v>
      </c>
      <c r="J209" s="16">
        <v>258000</v>
      </c>
      <c r="K209" s="16">
        <v>268100</v>
      </c>
      <c r="L209" s="16"/>
      <c r="M209" s="16">
        <v>173000</v>
      </c>
      <c r="N209" s="17">
        <f t="shared" si="7"/>
        <v>306300</v>
      </c>
    </row>
    <row r="210" spans="1:14" s="18" customFormat="1" x14ac:dyDescent="0.25">
      <c r="A210" s="15">
        <f t="shared" si="6"/>
        <v>43616</v>
      </c>
      <c r="B210" s="16">
        <v>595000</v>
      </c>
      <c r="C210" s="16">
        <v>408000</v>
      </c>
      <c r="D210" s="16">
        <v>300000</v>
      </c>
      <c r="E210" s="16">
        <v>263050</v>
      </c>
      <c r="F210" s="16">
        <v>267000</v>
      </c>
      <c r="G210" s="16">
        <v>270800</v>
      </c>
      <c r="H210" s="16">
        <v>314500</v>
      </c>
      <c r="I210" s="16">
        <v>278200</v>
      </c>
      <c r="J210" s="16">
        <v>260000</v>
      </c>
      <c r="K210" s="16">
        <v>270100</v>
      </c>
      <c r="L210" s="16"/>
      <c r="M210" s="16">
        <v>174000</v>
      </c>
      <c r="N210" s="17">
        <f t="shared" si="7"/>
        <v>309150</v>
      </c>
    </row>
    <row r="211" spans="1:14" s="18" customFormat="1" x14ac:dyDescent="0.25">
      <c r="A211" s="15">
        <f t="shared" si="6"/>
        <v>43646</v>
      </c>
      <c r="B211" s="16">
        <v>600000</v>
      </c>
      <c r="C211" s="16">
        <v>410000</v>
      </c>
      <c r="D211" s="16">
        <v>303000</v>
      </c>
      <c r="E211" s="16">
        <v>265000</v>
      </c>
      <c r="F211" s="16">
        <v>268000</v>
      </c>
      <c r="G211" s="16">
        <v>273000</v>
      </c>
      <c r="H211" s="16">
        <v>317000</v>
      </c>
      <c r="I211" s="16">
        <v>282000</v>
      </c>
      <c r="J211" s="16">
        <v>263000</v>
      </c>
      <c r="K211" s="16">
        <v>271000</v>
      </c>
      <c r="L211" s="16"/>
      <c r="M211" s="16">
        <v>175600</v>
      </c>
      <c r="N211" s="17">
        <f t="shared" si="7"/>
        <v>311600</v>
      </c>
    </row>
    <row r="212" spans="1:14" s="18" customFormat="1" x14ac:dyDescent="0.25">
      <c r="A212" s="15">
        <f t="shared" si="6"/>
        <v>43677</v>
      </c>
      <c r="B212" s="16">
        <v>605000</v>
      </c>
      <c r="C212" s="16">
        <v>412000</v>
      </c>
      <c r="D212" s="16">
        <v>305000</v>
      </c>
      <c r="E212" s="16">
        <v>266750</v>
      </c>
      <c r="F212" s="16">
        <v>269600</v>
      </c>
      <c r="G212" s="16">
        <v>275200</v>
      </c>
      <c r="H212" s="16">
        <v>318500</v>
      </c>
      <c r="I212" s="16">
        <v>285900</v>
      </c>
      <c r="J212" s="16">
        <v>266200</v>
      </c>
      <c r="K212" s="16">
        <v>272500</v>
      </c>
      <c r="L212" s="16"/>
      <c r="M212" s="16">
        <v>176000</v>
      </c>
      <c r="N212" s="17">
        <f t="shared" si="7"/>
        <v>313877.27272727271</v>
      </c>
    </row>
    <row r="213" spans="1:14" s="18" customFormat="1" x14ac:dyDescent="0.25">
      <c r="A213" s="15">
        <f t="shared" si="6"/>
        <v>43708</v>
      </c>
      <c r="B213" s="16">
        <v>612000</v>
      </c>
      <c r="C213" s="16">
        <v>416500</v>
      </c>
      <c r="D213" s="16">
        <v>309500</v>
      </c>
      <c r="E213" s="16">
        <v>270200</v>
      </c>
      <c r="F213" s="16">
        <v>273500</v>
      </c>
      <c r="G213" s="16">
        <v>279000</v>
      </c>
      <c r="H213" s="16">
        <v>321000</v>
      </c>
      <c r="I213" s="16">
        <v>288500</v>
      </c>
      <c r="J213" s="16">
        <v>269000</v>
      </c>
      <c r="K213" s="16">
        <v>275000</v>
      </c>
      <c r="L213" s="16"/>
      <c r="M213" s="16">
        <v>178000</v>
      </c>
      <c r="N213" s="17">
        <f t="shared" si="7"/>
        <v>317472.72727272729</v>
      </c>
    </row>
    <row r="214" spans="1:14" s="18" customFormat="1" x14ac:dyDescent="0.25">
      <c r="A214" s="15">
        <f t="shared" si="6"/>
        <v>43738</v>
      </c>
      <c r="B214" s="16">
        <v>622000</v>
      </c>
      <c r="C214" s="16">
        <v>422600</v>
      </c>
      <c r="D214" s="16">
        <v>313000</v>
      </c>
      <c r="E214" s="16">
        <v>275000</v>
      </c>
      <c r="F214" s="16">
        <v>275000</v>
      </c>
      <c r="G214" s="16">
        <v>282000</v>
      </c>
      <c r="H214" s="16">
        <v>323000</v>
      </c>
      <c r="I214" s="16">
        <v>293000</v>
      </c>
      <c r="J214" s="16">
        <v>272000</v>
      </c>
      <c r="K214" s="16">
        <v>277600</v>
      </c>
      <c r="L214" s="16"/>
      <c r="M214" s="16">
        <v>180000</v>
      </c>
      <c r="N214" s="17">
        <f t="shared" si="7"/>
        <v>321381.81818181818</v>
      </c>
    </row>
    <row r="215" spans="1:14" s="18" customFormat="1" x14ac:dyDescent="0.25">
      <c r="A215" s="15">
        <f t="shared" si="6"/>
        <v>43769</v>
      </c>
      <c r="B215" s="16">
        <v>630000</v>
      </c>
      <c r="C215" s="16">
        <v>430000</v>
      </c>
      <c r="D215" s="16">
        <v>317500</v>
      </c>
      <c r="E215" s="16">
        <v>280000</v>
      </c>
      <c r="F215" s="16">
        <v>278000</v>
      </c>
      <c r="G215" s="16">
        <v>288200</v>
      </c>
      <c r="H215" s="16">
        <v>330300</v>
      </c>
      <c r="I215" s="16">
        <v>300000</v>
      </c>
      <c r="J215" s="16">
        <v>278600</v>
      </c>
      <c r="K215" s="16">
        <v>281000</v>
      </c>
      <c r="L215" s="16"/>
      <c r="M215" s="16">
        <v>183300</v>
      </c>
      <c r="N215" s="17">
        <f t="shared" si="7"/>
        <v>326990.90909090912</v>
      </c>
    </row>
    <row r="216" spans="1:14" s="18" customFormat="1" x14ac:dyDescent="0.25">
      <c r="A216" s="15">
        <f t="shared" si="6"/>
        <v>43799</v>
      </c>
      <c r="B216" s="16">
        <v>644100</v>
      </c>
      <c r="C216" s="16">
        <v>440500</v>
      </c>
      <c r="D216" s="16">
        <v>325000</v>
      </c>
      <c r="E216" s="16">
        <v>285000</v>
      </c>
      <c r="F216" s="16">
        <v>283000</v>
      </c>
      <c r="G216" s="16">
        <v>293000</v>
      </c>
      <c r="H216" s="16">
        <v>335000</v>
      </c>
      <c r="I216" s="16">
        <v>308200</v>
      </c>
      <c r="J216" s="16">
        <v>284500</v>
      </c>
      <c r="K216" s="16">
        <v>286700</v>
      </c>
      <c r="L216" s="16"/>
      <c r="M216" s="16">
        <v>185500</v>
      </c>
      <c r="N216" s="17">
        <f t="shared" si="7"/>
        <v>333681.81818181818</v>
      </c>
    </row>
    <row r="217" spans="1:14" s="18" customFormat="1" x14ac:dyDescent="0.25">
      <c r="A217" s="15">
        <f t="shared" si="6"/>
        <v>43830</v>
      </c>
      <c r="B217" s="16">
        <v>655500</v>
      </c>
      <c r="C217" s="16">
        <v>453000</v>
      </c>
      <c r="D217" s="16">
        <v>332050</v>
      </c>
      <c r="E217" s="16">
        <v>292300</v>
      </c>
      <c r="F217" s="16">
        <v>290000</v>
      </c>
      <c r="G217" s="16">
        <v>300000</v>
      </c>
      <c r="H217" s="16">
        <v>343000</v>
      </c>
      <c r="I217" s="16">
        <v>315000</v>
      </c>
      <c r="J217" s="16">
        <v>292000</v>
      </c>
      <c r="K217" s="16">
        <v>295100</v>
      </c>
      <c r="L217" s="16"/>
      <c r="M217" s="16">
        <v>188000</v>
      </c>
      <c r="N217" s="17">
        <f t="shared" si="7"/>
        <v>341450</v>
      </c>
    </row>
    <row r="218" spans="1:14" s="18" customFormat="1" x14ac:dyDescent="0.25">
      <c r="A218" s="15">
        <f t="shared" si="6"/>
        <v>43861</v>
      </c>
      <c r="B218" s="16">
        <v>659500</v>
      </c>
      <c r="C218" s="16">
        <v>456600</v>
      </c>
      <c r="D218" s="16">
        <v>334500</v>
      </c>
      <c r="E218" s="16">
        <v>293000</v>
      </c>
      <c r="F218" s="16">
        <v>291500</v>
      </c>
      <c r="G218" s="16">
        <v>302000</v>
      </c>
      <c r="H218" s="16">
        <v>344500</v>
      </c>
      <c r="I218" s="16">
        <v>317000</v>
      </c>
      <c r="J218" s="16">
        <v>293500</v>
      </c>
      <c r="K218" s="16">
        <v>297000</v>
      </c>
      <c r="L218" s="16"/>
      <c r="M218" s="16">
        <v>188000</v>
      </c>
      <c r="N218" s="17">
        <f t="shared" si="7"/>
        <v>343372.72727272729</v>
      </c>
    </row>
    <row r="219" spans="1:14" s="18" customFormat="1" x14ac:dyDescent="0.25">
      <c r="A219" s="15">
        <f t="shared" si="6"/>
        <v>43890</v>
      </c>
      <c r="B219" s="16">
        <v>665000</v>
      </c>
      <c r="C219" s="16">
        <v>462200</v>
      </c>
      <c r="D219" s="16">
        <v>338000</v>
      </c>
      <c r="E219" s="16">
        <v>297000</v>
      </c>
      <c r="F219" s="16">
        <v>295000</v>
      </c>
      <c r="G219" s="16">
        <v>305000</v>
      </c>
      <c r="H219" s="16">
        <v>348000</v>
      </c>
      <c r="I219" s="16">
        <v>321200</v>
      </c>
      <c r="J219" s="16">
        <v>296500</v>
      </c>
      <c r="K219" s="16">
        <v>301000</v>
      </c>
      <c r="L219" s="16"/>
      <c r="M219" s="16">
        <v>190000</v>
      </c>
      <c r="N219" s="17">
        <f t="shared" si="7"/>
        <v>347172.72727272729</v>
      </c>
    </row>
    <row r="220" spans="1:14" s="18" customFormat="1" x14ac:dyDescent="0.25">
      <c r="A220" s="15">
        <f t="shared" si="6"/>
        <v>43921</v>
      </c>
      <c r="B220" s="16">
        <v>670000</v>
      </c>
      <c r="C220" s="16">
        <v>465000</v>
      </c>
      <c r="D220" s="16">
        <v>340100</v>
      </c>
      <c r="E220" s="16">
        <v>299050</v>
      </c>
      <c r="F220" s="16">
        <v>296500</v>
      </c>
      <c r="G220" s="16">
        <v>306200</v>
      </c>
      <c r="H220" s="16">
        <v>350000</v>
      </c>
      <c r="I220" s="16">
        <v>323000</v>
      </c>
      <c r="J220" s="16">
        <v>297200</v>
      </c>
      <c r="K220" s="16">
        <v>303050</v>
      </c>
      <c r="L220" s="16"/>
      <c r="M220" s="16">
        <v>191000</v>
      </c>
      <c r="N220" s="17">
        <f t="shared" si="7"/>
        <v>349190.90909090912</v>
      </c>
    </row>
    <row r="221" spans="1:14" s="18" customFormat="1" x14ac:dyDescent="0.25">
      <c r="A221" s="15">
        <f t="shared" si="6"/>
        <v>43951</v>
      </c>
      <c r="B221" s="16">
        <v>670000</v>
      </c>
      <c r="C221" s="16">
        <v>465000</v>
      </c>
      <c r="D221" s="16">
        <v>340100</v>
      </c>
      <c r="E221" s="16">
        <v>299050</v>
      </c>
      <c r="F221" s="16">
        <v>296500</v>
      </c>
      <c r="G221" s="16">
        <v>306200</v>
      </c>
      <c r="H221" s="16">
        <v>350000</v>
      </c>
      <c r="I221" s="16">
        <v>323000</v>
      </c>
      <c r="J221" s="16">
        <v>297200</v>
      </c>
      <c r="K221" s="16">
        <v>303050</v>
      </c>
      <c r="L221" s="16"/>
      <c r="M221" s="16">
        <v>191000</v>
      </c>
      <c r="N221" s="17">
        <f t="shared" si="7"/>
        <v>349190.90909090912</v>
      </c>
    </row>
    <row r="222" spans="1:14" s="18" customFormat="1" x14ac:dyDescent="0.25">
      <c r="A222" s="15">
        <f t="shared" si="6"/>
        <v>43982</v>
      </c>
      <c r="B222" s="16">
        <v>668000</v>
      </c>
      <c r="C222" s="16">
        <v>463500</v>
      </c>
      <c r="D222" s="16">
        <v>335000</v>
      </c>
      <c r="E222" s="16">
        <v>296000</v>
      </c>
      <c r="F222" s="16">
        <v>293000</v>
      </c>
      <c r="G222" s="16">
        <v>303000</v>
      </c>
      <c r="H222" s="16">
        <v>345000</v>
      </c>
      <c r="I222" s="16">
        <v>320000</v>
      </c>
      <c r="J222" s="16">
        <v>294000</v>
      </c>
      <c r="K222" s="16">
        <v>300000</v>
      </c>
      <c r="L222" s="16"/>
      <c r="M222" s="16">
        <v>186100</v>
      </c>
      <c r="N222" s="17">
        <f t="shared" si="7"/>
        <v>345781.81818181818</v>
      </c>
    </row>
    <row r="223" spans="1:14" s="18" customFormat="1" x14ac:dyDescent="0.25">
      <c r="A223" s="15">
        <f t="shared" si="6"/>
        <v>44012</v>
      </c>
      <c r="B223" s="16">
        <v>662000</v>
      </c>
      <c r="C223" s="16">
        <v>460000</v>
      </c>
      <c r="D223" s="16">
        <v>331100</v>
      </c>
      <c r="E223" s="16">
        <v>293000</v>
      </c>
      <c r="F223" s="16">
        <v>290200</v>
      </c>
      <c r="G223" s="16">
        <v>300050</v>
      </c>
      <c r="H223" s="16">
        <v>340000</v>
      </c>
      <c r="I223" s="16">
        <v>313800</v>
      </c>
      <c r="J223" s="16">
        <v>291050</v>
      </c>
      <c r="K223" s="16">
        <v>298000</v>
      </c>
      <c r="L223" s="16"/>
      <c r="M223" s="16">
        <v>184000</v>
      </c>
      <c r="N223" s="17">
        <f t="shared" si="7"/>
        <v>342109.09090909088</v>
      </c>
    </row>
    <row r="224" spans="1:14" s="18" customFormat="1" x14ac:dyDescent="0.25">
      <c r="A224" s="15">
        <f t="shared" si="6"/>
        <v>44043</v>
      </c>
      <c r="B224" s="16">
        <v>645000</v>
      </c>
      <c r="C224" s="16">
        <v>450050</v>
      </c>
      <c r="D224" s="16">
        <v>326000</v>
      </c>
      <c r="E224" s="16">
        <v>290100</v>
      </c>
      <c r="F224" s="16">
        <v>286050</v>
      </c>
      <c r="G224" s="16">
        <v>297000</v>
      </c>
      <c r="H224" s="16">
        <v>333000</v>
      </c>
      <c r="I224" s="16">
        <v>310000</v>
      </c>
      <c r="J224" s="16">
        <v>287200</v>
      </c>
      <c r="K224" s="16">
        <v>294000</v>
      </c>
      <c r="L224" s="16"/>
      <c r="M224" s="16">
        <v>181000</v>
      </c>
      <c r="N224" s="17">
        <f t="shared" si="7"/>
        <v>336309.09090909088</v>
      </c>
    </row>
    <row r="225" spans="1:15" s="18" customFormat="1" x14ac:dyDescent="0.25">
      <c r="A225" s="15">
        <f t="shared" si="6"/>
        <v>44074</v>
      </c>
      <c r="B225" s="16">
        <v>630000</v>
      </c>
      <c r="C225" s="16">
        <v>440000</v>
      </c>
      <c r="D225" s="16">
        <v>323000</v>
      </c>
      <c r="E225" s="16">
        <v>290100</v>
      </c>
      <c r="F225" s="16">
        <v>284100</v>
      </c>
      <c r="G225" s="16">
        <v>295000</v>
      </c>
      <c r="H225" s="16">
        <v>330000</v>
      </c>
      <c r="I225" s="16">
        <v>308100</v>
      </c>
      <c r="J225" s="16">
        <v>285000</v>
      </c>
      <c r="K225" s="16">
        <v>293000</v>
      </c>
      <c r="L225" s="16"/>
      <c r="M225" s="16">
        <v>180000</v>
      </c>
      <c r="N225" s="17">
        <f t="shared" si="7"/>
        <v>332572.72727272729</v>
      </c>
    </row>
    <row r="226" spans="1:15" s="18" customFormat="1" x14ac:dyDescent="0.25">
      <c r="A226" s="15">
        <f t="shared" si="6"/>
        <v>44104</v>
      </c>
      <c r="B226" s="16">
        <v>625000</v>
      </c>
      <c r="C226" s="16">
        <v>443100</v>
      </c>
      <c r="D226" s="16">
        <v>321500</v>
      </c>
      <c r="E226" s="16">
        <v>292000</v>
      </c>
      <c r="F226" s="16">
        <v>282200</v>
      </c>
      <c r="G226" s="16">
        <v>298000</v>
      </c>
      <c r="H226" s="16">
        <v>325000</v>
      </c>
      <c r="I226" s="16">
        <v>310000</v>
      </c>
      <c r="J226" s="16">
        <v>285500</v>
      </c>
      <c r="K226" s="16">
        <v>290000</v>
      </c>
      <c r="L226" s="16"/>
      <c r="M226" s="16">
        <v>180000</v>
      </c>
      <c r="N226" s="17">
        <f t="shared" si="7"/>
        <v>332027.27272727271</v>
      </c>
    </row>
    <row r="227" spans="1:15" s="18" customFormat="1" x14ac:dyDescent="0.25">
      <c r="A227" s="15">
        <f t="shared" si="6"/>
        <v>44135</v>
      </c>
      <c r="B227" s="16">
        <v>620500</v>
      </c>
      <c r="C227" s="16">
        <v>440300</v>
      </c>
      <c r="D227" s="16">
        <v>319000</v>
      </c>
      <c r="E227" s="16">
        <v>290500</v>
      </c>
      <c r="F227" s="16">
        <v>281000</v>
      </c>
      <c r="G227" s="16">
        <v>296500</v>
      </c>
      <c r="H227" s="16">
        <v>322000</v>
      </c>
      <c r="I227" s="16">
        <v>308000</v>
      </c>
      <c r="J227" s="16">
        <v>283100</v>
      </c>
      <c r="K227" s="16">
        <v>290500</v>
      </c>
      <c r="L227" s="16"/>
      <c r="M227" s="16">
        <v>175500</v>
      </c>
      <c r="N227" s="17">
        <f t="shared" si="7"/>
        <v>329718.18181818182</v>
      </c>
    </row>
    <row r="228" spans="1:15" s="18" customFormat="1" x14ac:dyDescent="0.25">
      <c r="A228" s="15">
        <f t="shared" si="6"/>
        <v>44165</v>
      </c>
      <c r="B228" s="16">
        <v>610300</v>
      </c>
      <c r="C228" s="16">
        <v>438000</v>
      </c>
      <c r="D228" s="16">
        <v>316000</v>
      </c>
      <c r="E228" s="16">
        <v>290000</v>
      </c>
      <c r="F228" s="16">
        <v>280000</v>
      </c>
      <c r="G228" s="16">
        <v>295000</v>
      </c>
      <c r="H228" s="16">
        <v>318000</v>
      </c>
      <c r="I228" s="16">
        <v>305100</v>
      </c>
      <c r="J228" s="16">
        <v>282000</v>
      </c>
      <c r="K228" s="16">
        <v>288200</v>
      </c>
      <c r="L228" s="16"/>
      <c r="M228" s="16">
        <v>175500</v>
      </c>
      <c r="N228" s="17">
        <f t="shared" si="7"/>
        <v>327100</v>
      </c>
    </row>
    <row r="229" spans="1:15" s="18" customFormat="1" x14ac:dyDescent="0.25">
      <c r="A229" s="15">
        <f t="shared" si="6"/>
        <v>44196</v>
      </c>
      <c r="B229" s="16">
        <v>613050</v>
      </c>
      <c r="C229" s="16">
        <v>440200</v>
      </c>
      <c r="D229" s="16">
        <v>317200</v>
      </c>
      <c r="E229" s="16">
        <v>292000</v>
      </c>
      <c r="F229" s="16">
        <v>282000</v>
      </c>
      <c r="G229" s="16">
        <v>296500</v>
      </c>
      <c r="H229" s="16">
        <v>317000</v>
      </c>
      <c r="I229" s="16">
        <v>304000</v>
      </c>
      <c r="J229" s="16">
        <v>283200</v>
      </c>
      <c r="K229" s="16">
        <v>289000</v>
      </c>
      <c r="L229" s="16"/>
      <c r="M229" s="16">
        <v>175000</v>
      </c>
      <c r="N229" s="17">
        <f t="shared" si="7"/>
        <v>328104.54545454547</v>
      </c>
    </row>
    <row r="230" spans="1:15" s="18" customFormat="1" x14ac:dyDescent="0.25">
      <c r="A230" s="15">
        <f t="shared" si="6"/>
        <v>44227</v>
      </c>
      <c r="B230" s="16">
        <v>608500</v>
      </c>
      <c r="C230" s="16">
        <v>436500</v>
      </c>
      <c r="D230" s="16">
        <v>315000</v>
      </c>
      <c r="E230" s="16">
        <v>293000</v>
      </c>
      <c r="F230" s="16">
        <v>280500</v>
      </c>
      <c r="G230" s="16">
        <v>297000</v>
      </c>
      <c r="H230" s="16">
        <v>315200</v>
      </c>
      <c r="I230" s="16">
        <v>303000</v>
      </c>
      <c r="J230" s="16">
        <v>281000</v>
      </c>
      <c r="K230" s="16">
        <v>288000</v>
      </c>
      <c r="L230" s="16"/>
      <c r="M230" s="16">
        <v>174500</v>
      </c>
      <c r="N230" s="17">
        <f t="shared" si="7"/>
        <v>326563.63636363635</v>
      </c>
    </row>
    <row r="231" spans="1:15" s="18" customFormat="1" x14ac:dyDescent="0.25">
      <c r="A231" s="15">
        <f t="shared" si="6"/>
        <v>44255</v>
      </c>
      <c r="B231" s="16">
        <v>605200</v>
      </c>
      <c r="C231" s="16">
        <v>435000</v>
      </c>
      <c r="D231" s="16">
        <v>313500</v>
      </c>
      <c r="E231" s="16">
        <v>292100</v>
      </c>
      <c r="F231" s="16">
        <v>280500</v>
      </c>
      <c r="G231" s="16">
        <v>296100</v>
      </c>
      <c r="H231" s="16">
        <v>314000</v>
      </c>
      <c r="I231" s="16">
        <v>302000</v>
      </c>
      <c r="J231" s="16">
        <v>280500</v>
      </c>
      <c r="K231" s="16">
        <v>286500</v>
      </c>
      <c r="L231" s="16"/>
      <c r="M231" s="16">
        <v>174500</v>
      </c>
      <c r="N231" s="17">
        <f t="shared" si="7"/>
        <v>325445.45454545453</v>
      </c>
    </row>
    <row r="232" spans="1:15" s="18" customFormat="1" x14ac:dyDescent="0.25">
      <c r="A232" s="15">
        <f t="shared" si="6"/>
        <v>44286</v>
      </c>
      <c r="B232" s="16">
        <v>606000</v>
      </c>
      <c r="C232" s="16">
        <v>436000</v>
      </c>
      <c r="D232" s="16">
        <v>313000</v>
      </c>
      <c r="E232" s="16">
        <v>293200</v>
      </c>
      <c r="F232" s="16">
        <v>280500</v>
      </c>
      <c r="G232" s="16">
        <v>297200</v>
      </c>
      <c r="H232" s="16">
        <v>313200</v>
      </c>
      <c r="I232" s="16">
        <v>303000</v>
      </c>
      <c r="J232" s="16">
        <v>281000</v>
      </c>
      <c r="K232" s="16">
        <v>286000</v>
      </c>
      <c r="L232" s="16"/>
      <c r="M232" s="16">
        <v>175000</v>
      </c>
      <c r="N232" s="17">
        <f t="shared" si="7"/>
        <v>325827.27272727271</v>
      </c>
    </row>
    <row r="233" spans="1:15" s="18" customFormat="1" x14ac:dyDescent="0.25">
      <c r="A233" s="15">
        <f t="shared" si="6"/>
        <v>44316</v>
      </c>
      <c r="B233" s="16">
        <v>610000</v>
      </c>
      <c r="C233" s="16">
        <v>440500</v>
      </c>
      <c r="D233" s="16">
        <v>315200</v>
      </c>
      <c r="E233" s="16">
        <v>294050</v>
      </c>
      <c r="F233" s="16">
        <v>281000</v>
      </c>
      <c r="G233" s="16">
        <v>298500</v>
      </c>
      <c r="H233" s="16">
        <v>314500</v>
      </c>
      <c r="I233" s="16">
        <v>305000</v>
      </c>
      <c r="J233" s="16">
        <v>283500</v>
      </c>
      <c r="K233" s="16">
        <v>285200</v>
      </c>
      <c r="L233" s="16"/>
      <c r="M233" s="16">
        <v>175000</v>
      </c>
      <c r="N233" s="17">
        <f t="shared" si="7"/>
        <v>327495.45454545453</v>
      </c>
    </row>
    <row r="234" spans="1:15" s="18" customFormat="1" x14ac:dyDescent="0.25">
      <c r="A234" s="15">
        <f t="shared" si="6"/>
        <v>44347</v>
      </c>
      <c r="B234" s="16">
        <v>615500</v>
      </c>
      <c r="C234" s="16">
        <v>445000</v>
      </c>
      <c r="D234" s="16">
        <v>318300</v>
      </c>
      <c r="E234" s="16">
        <v>296050</v>
      </c>
      <c r="F234" s="16">
        <v>284000</v>
      </c>
      <c r="G234" s="16">
        <v>301000</v>
      </c>
      <c r="H234" s="16">
        <v>317200</v>
      </c>
      <c r="I234" s="16">
        <v>308000</v>
      </c>
      <c r="J234" s="16">
        <v>285500</v>
      </c>
      <c r="K234" s="16">
        <v>287100</v>
      </c>
      <c r="L234" s="16"/>
      <c r="M234" s="16">
        <v>176100</v>
      </c>
      <c r="N234" s="17">
        <f t="shared" si="7"/>
        <v>330340.90909090912</v>
      </c>
    </row>
    <row r="235" spans="1:15" s="18" customFormat="1" x14ac:dyDescent="0.25">
      <c r="A235" s="15">
        <f t="shared" si="6"/>
        <v>44377</v>
      </c>
      <c r="B235" s="16">
        <v>622000</v>
      </c>
      <c r="C235" s="16">
        <v>450200</v>
      </c>
      <c r="D235" s="16">
        <v>321000</v>
      </c>
      <c r="E235" s="16">
        <v>300000</v>
      </c>
      <c r="F235" s="16">
        <v>288000</v>
      </c>
      <c r="G235" s="16">
        <v>305100</v>
      </c>
      <c r="H235" s="16">
        <v>321100</v>
      </c>
      <c r="I235" s="16">
        <v>312500</v>
      </c>
      <c r="J235" s="16">
        <v>290000</v>
      </c>
      <c r="K235" s="16">
        <v>293050</v>
      </c>
      <c r="L235" s="16"/>
      <c r="M235" s="16">
        <v>178000</v>
      </c>
      <c r="N235" s="17">
        <f t="shared" si="7"/>
        <v>334631.81818181818</v>
      </c>
    </row>
    <row r="236" spans="1:15" s="18" customFormat="1" x14ac:dyDescent="0.25">
      <c r="A236" s="15">
        <f t="shared" si="6"/>
        <v>44408</v>
      </c>
      <c r="B236" s="16">
        <v>625100</v>
      </c>
      <c r="C236" s="16">
        <v>455000</v>
      </c>
      <c r="D236" s="16">
        <v>322200</v>
      </c>
      <c r="E236" s="16">
        <v>301500</v>
      </c>
      <c r="F236" s="16">
        <v>290000</v>
      </c>
      <c r="G236" s="16">
        <v>307200</v>
      </c>
      <c r="H236" s="16">
        <v>323500</v>
      </c>
      <c r="I236" s="16">
        <v>314100</v>
      </c>
      <c r="J236" s="16">
        <v>292500</v>
      </c>
      <c r="K236" s="16">
        <v>294200</v>
      </c>
      <c r="L236" s="16"/>
      <c r="M236" s="16">
        <v>178300</v>
      </c>
      <c r="N236" s="17">
        <f t="shared" si="7"/>
        <v>336690.90909090912</v>
      </c>
    </row>
    <row r="237" spans="1:15" s="18" customFormat="1" x14ac:dyDescent="0.25">
      <c r="A237" s="15">
        <f t="shared" si="6"/>
        <v>44439</v>
      </c>
      <c r="B237" s="16">
        <v>635300</v>
      </c>
      <c r="C237" s="16">
        <v>462000</v>
      </c>
      <c r="D237" s="16">
        <v>330100</v>
      </c>
      <c r="E237" s="16">
        <v>305000</v>
      </c>
      <c r="F237" s="16">
        <v>293100</v>
      </c>
      <c r="G237" s="16">
        <v>310000</v>
      </c>
      <c r="H237" s="16">
        <v>327100</v>
      </c>
      <c r="I237" s="16">
        <v>318000</v>
      </c>
      <c r="J237" s="16">
        <v>295000</v>
      </c>
      <c r="K237" s="16">
        <v>298100</v>
      </c>
      <c r="L237" s="16"/>
      <c r="M237" s="16">
        <v>181100</v>
      </c>
      <c r="N237" s="17">
        <f t="shared" si="7"/>
        <v>341345.45454545453</v>
      </c>
      <c r="O237" s="19"/>
    </row>
    <row r="238" spans="1:15" s="18" customFormat="1" x14ac:dyDescent="0.25">
      <c r="A238" s="15">
        <f t="shared" si="6"/>
        <v>44469</v>
      </c>
      <c r="B238" s="16">
        <v>650100</v>
      </c>
      <c r="C238" s="16">
        <v>470200</v>
      </c>
      <c r="D238" s="16">
        <v>333500</v>
      </c>
      <c r="E238" s="16">
        <v>308100</v>
      </c>
      <c r="F238" s="16">
        <v>296000</v>
      </c>
      <c r="G238" s="16">
        <v>313100</v>
      </c>
      <c r="H238" s="16">
        <v>330000</v>
      </c>
      <c r="I238" s="16">
        <v>320100</v>
      </c>
      <c r="J238" s="16">
        <v>297500</v>
      </c>
      <c r="K238" s="16">
        <v>301500</v>
      </c>
      <c r="L238" s="16"/>
      <c r="M238" s="16">
        <v>184200</v>
      </c>
      <c r="N238" s="17">
        <f t="shared" si="7"/>
        <v>345845.45454545453</v>
      </c>
    </row>
    <row r="239" spans="1:15" s="18" customFormat="1" x14ac:dyDescent="0.25">
      <c r="A239" s="15">
        <f>'[1]gorcarqnery yst tesakneri'!A227</f>
        <v>44500</v>
      </c>
      <c r="B239" s="16">
        <v>665000</v>
      </c>
      <c r="C239" s="16">
        <v>473000</v>
      </c>
      <c r="D239" s="16">
        <v>340000</v>
      </c>
      <c r="E239" s="16">
        <v>312000</v>
      </c>
      <c r="F239" s="16">
        <v>299500</v>
      </c>
      <c r="G239" s="16">
        <v>315000</v>
      </c>
      <c r="H239" s="16">
        <v>335100</v>
      </c>
      <c r="I239" s="16">
        <v>325500</v>
      </c>
      <c r="J239" s="16">
        <v>300050</v>
      </c>
      <c r="K239" s="16">
        <v>303100</v>
      </c>
      <c r="L239" s="16"/>
      <c r="M239" s="16">
        <v>186000</v>
      </c>
      <c r="N239" s="17">
        <f t="shared" si="7"/>
        <v>350386.36363636365</v>
      </c>
    </row>
    <row r="240" spans="1:15" s="18" customFormat="1" x14ac:dyDescent="0.25">
      <c r="A240" s="15">
        <f>'[1]gorcarqnery yst tesakneri'!A228</f>
        <v>44530</v>
      </c>
      <c r="B240" s="16">
        <v>672300</v>
      </c>
      <c r="C240" s="16">
        <v>475000</v>
      </c>
      <c r="D240" s="16">
        <v>350050</v>
      </c>
      <c r="E240" s="16">
        <v>312500</v>
      </c>
      <c r="F240" s="16">
        <v>307300</v>
      </c>
      <c r="G240" s="16">
        <v>322300</v>
      </c>
      <c r="H240" s="16">
        <v>345000</v>
      </c>
      <c r="I240" s="16">
        <v>335000</v>
      </c>
      <c r="J240" s="16">
        <v>310000</v>
      </c>
      <c r="K240" s="16">
        <v>310500</v>
      </c>
      <c r="L240" s="16"/>
      <c r="M240" s="16">
        <v>189000</v>
      </c>
      <c r="N240" s="17">
        <f t="shared" si="7"/>
        <v>357177.27272727271</v>
      </c>
    </row>
    <row r="241" spans="1:15" s="18" customFormat="1" x14ac:dyDescent="0.25">
      <c r="A241" s="15">
        <f>'[1]gorcarqnery yst tesakneri'!A229</f>
        <v>44561</v>
      </c>
      <c r="B241" s="16">
        <v>680600</v>
      </c>
      <c r="C241" s="16">
        <v>484100</v>
      </c>
      <c r="D241" s="16">
        <v>356100</v>
      </c>
      <c r="E241" s="16">
        <v>310000</v>
      </c>
      <c r="F241" s="16">
        <v>310000</v>
      </c>
      <c r="G241" s="16">
        <v>318050</v>
      </c>
      <c r="H241" s="16">
        <v>351300</v>
      </c>
      <c r="I241" s="16">
        <v>331500</v>
      </c>
      <c r="J241" s="16">
        <v>313100</v>
      </c>
      <c r="K241" s="16">
        <v>315050</v>
      </c>
      <c r="L241" s="16"/>
      <c r="M241" s="16">
        <v>190050</v>
      </c>
      <c r="N241" s="17">
        <f t="shared" si="7"/>
        <v>359986.36363636365</v>
      </c>
    </row>
    <row r="242" spans="1:15" s="18" customFormat="1" x14ac:dyDescent="0.25">
      <c r="A242" s="15">
        <f>'[1]gorcarqnery yst tesakneri'!A230</f>
        <v>44592</v>
      </c>
      <c r="B242" s="16">
        <v>683000</v>
      </c>
      <c r="C242" s="16">
        <v>483000</v>
      </c>
      <c r="D242" s="16">
        <v>358200</v>
      </c>
      <c r="E242" s="16">
        <v>309000</v>
      </c>
      <c r="F242" s="16">
        <v>311200</v>
      </c>
      <c r="G242" s="16">
        <v>320000</v>
      </c>
      <c r="H242" s="16">
        <v>353500</v>
      </c>
      <c r="I242" s="16">
        <v>331000</v>
      </c>
      <c r="J242" s="16">
        <v>312000</v>
      </c>
      <c r="K242" s="16">
        <v>316600</v>
      </c>
      <c r="L242" s="16"/>
      <c r="M242" s="16">
        <v>190000</v>
      </c>
      <c r="N242" s="17">
        <f t="shared" si="7"/>
        <v>360681.81818181818</v>
      </c>
    </row>
    <row r="243" spans="1:15" s="18" customFormat="1" x14ac:dyDescent="0.25">
      <c r="A243" s="15">
        <f>'[1]gorcarqnery yst tesakneri'!A231</f>
        <v>44620</v>
      </c>
      <c r="B243" s="16">
        <v>690550</v>
      </c>
      <c r="C243" s="16">
        <v>490100</v>
      </c>
      <c r="D243" s="16">
        <v>360500</v>
      </c>
      <c r="E243" s="16">
        <v>309500</v>
      </c>
      <c r="F243" s="16">
        <v>315500</v>
      </c>
      <c r="G243" s="16">
        <v>323500</v>
      </c>
      <c r="H243" s="16">
        <v>356500</v>
      </c>
      <c r="I243" s="16">
        <v>331000</v>
      </c>
      <c r="J243" s="16">
        <v>316100</v>
      </c>
      <c r="K243" s="16">
        <v>320000</v>
      </c>
      <c r="L243" s="16"/>
      <c r="M243" s="16">
        <v>191000</v>
      </c>
      <c r="N243" s="17">
        <f t="shared" si="7"/>
        <v>364022.72727272729</v>
      </c>
    </row>
    <row r="244" spans="1:15" s="18" customFormat="1" x14ac:dyDescent="0.25">
      <c r="A244" s="15">
        <f>'[1]gorcarqnery yst tesakneri'!A232</f>
        <v>44651</v>
      </c>
      <c r="B244" s="16">
        <v>715600</v>
      </c>
      <c r="C244" s="16">
        <v>506100</v>
      </c>
      <c r="D244" s="16">
        <v>372050</v>
      </c>
      <c r="E244" s="16">
        <v>318100</v>
      </c>
      <c r="F244" s="16">
        <v>323000</v>
      </c>
      <c r="G244" s="16">
        <v>330100</v>
      </c>
      <c r="H244" s="16">
        <v>368000</v>
      </c>
      <c r="I244" s="16">
        <v>342000</v>
      </c>
      <c r="J244" s="16">
        <v>323000</v>
      </c>
      <c r="K244" s="16">
        <v>320000</v>
      </c>
      <c r="L244" s="16"/>
      <c r="M244" s="16">
        <v>197000</v>
      </c>
      <c r="N244" s="17">
        <f t="shared" si="7"/>
        <v>374086.36363636365</v>
      </c>
    </row>
    <row r="245" spans="1:15" s="18" customFormat="1" x14ac:dyDescent="0.25">
      <c r="A245" s="15">
        <f>'[1]gorcarqnery yst tesakneri'!A233</f>
        <v>44681</v>
      </c>
      <c r="B245" s="16">
        <v>730000</v>
      </c>
      <c r="C245" s="16">
        <v>517000</v>
      </c>
      <c r="D245" s="16">
        <v>380100</v>
      </c>
      <c r="E245" s="16">
        <v>322000</v>
      </c>
      <c r="F245" s="16">
        <v>330200</v>
      </c>
      <c r="G245" s="16">
        <v>336000</v>
      </c>
      <c r="H245" s="16">
        <v>375300</v>
      </c>
      <c r="I245" s="16">
        <v>350000</v>
      </c>
      <c r="J245" s="16">
        <v>328000</v>
      </c>
      <c r="K245" s="16">
        <v>325600</v>
      </c>
      <c r="L245" s="16"/>
      <c r="M245" s="16">
        <v>200300</v>
      </c>
      <c r="N245" s="17">
        <f t="shared" si="7"/>
        <v>381318.18181818182</v>
      </c>
    </row>
    <row r="246" spans="1:15" s="18" customFormat="1" x14ac:dyDescent="0.25">
      <c r="A246" s="15">
        <f>'[1]gorcarqnery yst tesakneri'!A234</f>
        <v>44712</v>
      </c>
      <c r="B246" s="16">
        <v>739500</v>
      </c>
      <c r="C246" s="16">
        <v>522500</v>
      </c>
      <c r="D246" s="16">
        <v>385000</v>
      </c>
      <c r="E246" s="16">
        <v>328100</v>
      </c>
      <c r="F246" s="16">
        <v>336500</v>
      </c>
      <c r="G246" s="16">
        <v>340100</v>
      </c>
      <c r="H246" s="16">
        <v>380300</v>
      </c>
      <c r="I246" s="16">
        <v>360100</v>
      </c>
      <c r="J246" s="16">
        <v>332100</v>
      </c>
      <c r="K246" s="16">
        <v>331100</v>
      </c>
      <c r="L246" s="16"/>
      <c r="M246" s="16">
        <v>202500</v>
      </c>
      <c r="N246" s="17">
        <f t="shared" si="7"/>
        <v>387072.72727272729</v>
      </c>
    </row>
    <row r="247" spans="1:15" s="18" customFormat="1" x14ac:dyDescent="0.25">
      <c r="A247" s="15">
        <f>'[1]gorcarqnery yst tesakneri'!A235</f>
        <v>44742</v>
      </c>
      <c r="B247" s="16">
        <v>744100</v>
      </c>
      <c r="C247" s="16">
        <v>526600</v>
      </c>
      <c r="D247" s="16">
        <v>386000</v>
      </c>
      <c r="E247" s="16">
        <v>330600</v>
      </c>
      <c r="F247" s="16">
        <v>340000</v>
      </c>
      <c r="G247" s="16">
        <v>342000</v>
      </c>
      <c r="H247" s="16">
        <v>385000</v>
      </c>
      <c r="I247" s="16">
        <v>362700</v>
      </c>
      <c r="J247" s="16">
        <v>336000</v>
      </c>
      <c r="K247" s="16">
        <v>335050</v>
      </c>
      <c r="L247" s="16"/>
      <c r="M247" s="16">
        <v>204300</v>
      </c>
      <c r="N247" s="17">
        <f t="shared" si="7"/>
        <v>390213.63636363635</v>
      </c>
    </row>
    <row r="248" spans="1:15" x14ac:dyDescent="0.25">
      <c r="A248" s="15">
        <f>'[1]gorcarqnery yst tesakneri'!A236</f>
        <v>44773</v>
      </c>
      <c r="B248" s="16">
        <v>742500</v>
      </c>
      <c r="C248" s="16">
        <v>527000</v>
      </c>
      <c r="D248" s="16">
        <v>386000</v>
      </c>
      <c r="E248" s="16">
        <v>331500</v>
      </c>
      <c r="F248" s="16">
        <v>342300</v>
      </c>
      <c r="G248" s="16">
        <v>341050</v>
      </c>
      <c r="H248" s="16">
        <v>388500</v>
      </c>
      <c r="I248" s="16">
        <v>363000</v>
      </c>
      <c r="J248" s="16">
        <v>337500</v>
      </c>
      <c r="K248" s="16">
        <v>336500</v>
      </c>
      <c r="L248" s="16"/>
      <c r="M248" s="16">
        <v>205100</v>
      </c>
      <c r="N248" s="17">
        <f t="shared" si="7"/>
        <v>390995.45454545453</v>
      </c>
    </row>
    <row r="249" spans="1:15" x14ac:dyDescent="0.25">
      <c r="A249" s="15">
        <f>'[1]gorcarqnery yst tesakneri'!A237</f>
        <v>44804</v>
      </c>
      <c r="B249" s="16">
        <v>745100</v>
      </c>
      <c r="C249" s="16">
        <v>530000</v>
      </c>
      <c r="D249" s="16">
        <v>387500</v>
      </c>
      <c r="E249" s="16">
        <v>331500</v>
      </c>
      <c r="F249" s="16">
        <v>344000</v>
      </c>
      <c r="G249" s="16">
        <v>341050</v>
      </c>
      <c r="H249" s="16">
        <v>391200</v>
      </c>
      <c r="I249" s="16">
        <v>364200</v>
      </c>
      <c r="J249" s="16">
        <v>339000</v>
      </c>
      <c r="K249" s="16">
        <v>337500</v>
      </c>
      <c r="L249" s="16"/>
      <c r="M249" s="16">
        <v>206200</v>
      </c>
      <c r="N249" s="17">
        <f t="shared" si="7"/>
        <v>392477.27272727271</v>
      </c>
      <c r="O249" s="19"/>
    </row>
    <row r="250" spans="1:15" x14ac:dyDescent="0.25">
      <c r="A250" s="15">
        <f>'[1]gorcarqnery yst tesakneri'!A238</f>
        <v>44834</v>
      </c>
      <c r="B250" s="16">
        <v>750000</v>
      </c>
      <c r="C250" s="16">
        <v>534500</v>
      </c>
      <c r="D250" s="16">
        <v>388600</v>
      </c>
      <c r="E250" s="16">
        <v>330000</v>
      </c>
      <c r="F250" s="16">
        <v>345200</v>
      </c>
      <c r="G250" s="16">
        <v>342000</v>
      </c>
      <c r="H250" s="16">
        <v>393500</v>
      </c>
      <c r="I250" s="16">
        <v>360500</v>
      </c>
      <c r="J250" s="16">
        <v>340300</v>
      </c>
      <c r="K250" s="16">
        <v>339000</v>
      </c>
      <c r="L250" s="16"/>
      <c r="M250" s="16">
        <v>205000</v>
      </c>
      <c r="N250" s="17">
        <f t="shared" si="7"/>
        <v>393509.09090909088</v>
      </c>
    </row>
    <row r="251" spans="1:15" x14ac:dyDescent="0.25">
      <c r="A251" s="15">
        <f>'[1]gorcarqnery yst tesakneri'!A239</f>
        <v>44865</v>
      </c>
      <c r="B251" s="16">
        <v>760500</v>
      </c>
      <c r="C251" s="16">
        <v>540200</v>
      </c>
      <c r="D251" s="16">
        <v>390500</v>
      </c>
      <c r="E251" s="16">
        <v>329000</v>
      </c>
      <c r="F251" s="16">
        <v>344000</v>
      </c>
      <c r="G251" s="16">
        <v>344000</v>
      </c>
      <c r="H251" s="16">
        <v>396000</v>
      </c>
      <c r="I251" s="16">
        <v>360500</v>
      </c>
      <c r="J251" s="16">
        <v>342500</v>
      </c>
      <c r="K251" s="16">
        <v>341000</v>
      </c>
      <c r="L251" s="16"/>
      <c r="M251" s="16">
        <v>203700</v>
      </c>
      <c r="N251" s="17">
        <f t="shared" si="7"/>
        <v>395627.27272727271</v>
      </c>
    </row>
    <row r="252" spans="1:15" x14ac:dyDescent="0.25">
      <c r="A252" s="15">
        <f>'[1]gorcarqnery yst tesakneri'!A240</f>
        <v>44895</v>
      </c>
      <c r="B252" s="16">
        <v>773100</v>
      </c>
      <c r="C252" s="16">
        <v>542500</v>
      </c>
      <c r="D252" s="16">
        <v>392200</v>
      </c>
      <c r="E252" s="16">
        <v>331050</v>
      </c>
      <c r="F252" s="16">
        <v>344500</v>
      </c>
      <c r="G252" s="16">
        <v>345100</v>
      </c>
      <c r="H252" s="16">
        <v>400100</v>
      </c>
      <c r="I252" s="16">
        <v>362000</v>
      </c>
      <c r="J252" s="16">
        <v>344000</v>
      </c>
      <c r="K252" s="16">
        <v>343100</v>
      </c>
      <c r="L252" s="16"/>
      <c r="M252" s="16">
        <v>204500</v>
      </c>
      <c r="N252" s="17">
        <f t="shared" si="7"/>
        <v>398377.27272727271</v>
      </c>
    </row>
    <row r="253" spans="1:15" x14ac:dyDescent="0.25">
      <c r="A253" s="15">
        <v>44926</v>
      </c>
      <c r="B253" s="16">
        <v>780000</v>
      </c>
      <c r="C253" s="16">
        <v>546100</v>
      </c>
      <c r="D253" s="16">
        <v>392200</v>
      </c>
      <c r="E253" s="16">
        <v>332100</v>
      </c>
      <c r="F253" s="16">
        <v>343200</v>
      </c>
      <c r="G253" s="16">
        <v>345100</v>
      </c>
      <c r="H253" s="16">
        <v>404500</v>
      </c>
      <c r="I253" s="16">
        <v>362000</v>
      </c>
      <c r="J253" s="16">
        <v>346100</v>
      </c>
      <c r="K253" s="16">
        <v>344500</v>
      </c>
      <c r="L253" s="16"/>
      <c r="M253" s="16">
        <v>205000</v>
      </c>
      <c r="N253" s="17">
        <f t="shared" si="7"/>
        <v>400072.72727272729</v>
      </c>
    </row>
    <row r="254" spans="1:15" x14ac:dyDescent="0.25">
      <c r="A254" s="15">
        <f>'[2]gorcarqnery yst tesakneri'!A242</f>
        <v>44957</v>
      </c>
      <c r="B254" s="16">
        <v>788100</v>
      </c>
      <c r="C254" s="16">
        <v>550200</v>
      </c>
      <c r="D254" s="16">
        <v>391000</v>
      </c>
      <c r="E254" s="16">
        <v>334050</v>
      </c>
      <c r="F254" s="16">
        <v>345500</v>
      </c>
      <c r="G254" s="16">
        <v>347200</v>
      </c>
      <c r="H254" s="16">
        <v>404500</v>
      </c>
      <c r="I254" s="16">
        <v>362000</v>
      </c>
      <c r="J254" s="16">
        <v>348500</v>
      </c>
      <c r="K254" s="16">
        <v>345500</v>
      </c>
      <c r="L254" s="16"/>
      <c r="M254" s="16">
        <v>205000</v>
      </c>
      <c r="N254" s="17">
        <f t="shared" si="7"/>
        <v>401959.09090909088</v>
      </c>
    </row>
    <row r="255" spans="1:15" x14ac:dyDescent="0.25">
      <c r="A255" s="15">
        <f>'[2]gorcarqnery yst tesakneri'!A243</f>
        <v>44985</v>
      </c>
      <c r="B255" s="16">
        <v>795300</v>
      </c>
      <c r="C255" s="16">
        <v>555500</v>
      </c>
      <c r="D255" s="16">
        <v>392000</v>
      </c>
      <c r="E255" s="16">
        <v>335200</v>
      </c>
      <c r="F255" s="16">
        <v>348000</v>
      </c>
      <c r="G255" s="16">
        <v>350000</v>
      </c>
      <c r="H255" s="16">
        <v>405500</v>
      </c>
      <c r="I255" s="16">
        <v>364500</v>
      </c>
      <c r="J255" s="16">
        <v>352100</v>
      </c>
      <c r="K255" s="16">
        <v>348200</v>
      </c>
      <c r="L255" s="16"/>
      <c r="M255" s="16">
        <v>206050</v>
      </c>
      <c r="N255" s="17">
        <f t="shared" si="7"/>
        <v>404759.09090909088</v>
      </c>
    </row>
    <row r="256" spans="1:15" x14ac:dyDescent="0.25">
      <c r="A256" s="15">
        <f>'[2]gorcarqnery yst tesakneri'!A244</f>
        <v>45016</v>
      </c>
      <c r="B256" s="16">
        <v>805200</v>
      </c>
      <c r="C256" s="16">
        <v>563000</v>
      </c>
      <c r="D256" s="16">
        <v>395100</v>
      </c>
      <c r="E256" s="16">
        <v>340000</v>
      </c>
      <c r="F256" s="16">
        <v>352000</v>
      </c>
      <c r="G256" s="16">
        <v>353500</v>
      </c>
      <c r="H256" s="16">
        <v>408300</v>
      </c>
      <c r="I256" s="16">
        <v>367000</v>
      </c>
      <c r="J256" s="16">
        <v>355500</v>
      </c>
      <c r="K256" s="16">
        <v>352000</v>
      </c>
      <c r="L256" s="16"/>
      <c r="M256" s="16">
        <v>207100</v>
      </c>
      <c r="N256" s="17">
        <f t="shared" si="7"/>
        <v>408972.72727272729</v>
      </c>
    </row>
    <row r="257" spans="1:14" x14ac:dyDescent="0.25">
      <c r="A257" s="15">
        <f>'[2]gorcarqnery yst tesakneri'!A245</f>
        <v>45046</v>
      </c>
      <c r="B257" s="16">
        <v>811500</v>
      </c>
      <c r="C257" s="16">
        <v>566200</v>
      </c>
      <c r="D257" s="16">
        <v>398600</v>
      </c>
      <c r="E257" s="16">
        <v>345000</v>
      </c>
      <c r="F257" s="16">
        <v>358100</v>
      </c>
      <c r="G257" s="16">
        <v>355200</v>
      </c>
      <c r="H257" s="16">
        <v>415000</v>
      </c>
      <c r="I257" s="16">
        <v>370500</v>
      </c>
      <c r="J257" s="16">
        <v>360000</v>
      </c>
      <c r="K257" s="16">
        <v>355500</v>
      </c>
      <c r="L257" s="16"/>
      <c r="M257" s="16">
        <v>208200</v>
      </c>
      <c r="N257" s="17">
        <f t="shared" si="7"/>
        <v>413072.72727272729</v>
      </c>
    </row>
    <row r="258" spans="1:14" x14ac:dyDescent="0.25">
      <c r="A258" s="15">
        <f>'[2]gorcarqnery yst tesakneri'!A246</f>
        <v>45077</v>
      </c>
      <c r="B258" s="16">
        <v>815200</v>
      </c>
      <c r="C258" s="16">
        <v>573100</v>
      </c>
      <c r="D258" s="16">
        <v>399500</v>
      </c>
      <c r="E258" s="16">
        <v>350100</v>
      </c>
      <c r="F258" s="16">
        <v>363500</v>
      </c>
      <c r="G258" s="16">
        <v>357300</v>
      </c>
      <c r="H258" s="16">
        <v>420200</v>
      </c>
      <c r="I258" s="16">
        <v>373000</v>
      </c>
      <c r="J258" s="16">
        <v>364100</v>
      </c>
      <c r="K258" s="16">
        <v>358500</v>
      </c>
      <c r="L258" s="16"/>
      <c r="M258" s="16">
        <v>210100</v>
      </c>
      <c r="N258" s="17">
        <f t="shared" si="7"/>
        <v>416781.81818181818</v>
      </c>
    </row>
    <row r="259" spans="1:14" x14ac:dyDescent="0.25">
      <c r="A259" s="15">
        <f>'[2]gorcarqnery yst tesakneri'!A247</f>
        <v>45107</v>
      </c>
      <c r="B259" s="16">
        <v>825300</v>
      </c>
      <c r="C259" s="16">
        <v>580500</v>
      </c>
      <c r="D259" s="16">
        <v>403300</v>
      </c>
      <c r="E259" s="16">
        <v>355200</v>
      </c>
      <c r="F259" s="16">
        <v>368200</v>
      </c>
      <c r="G259" s="16">
        <v>362000</v>
      </c>
      <c r="H259" s="16">
        <v>420200</v>
      </c>
      <c r="I259" s="16">
        <v>375500</v>
      </c>
      <c r="J259" s="16">
        <v>366000</v>
      </c>
      <c r="K259" s="16">
        <v>361300</v>
      </c>
      <c r="L259" s="16"/>
      <c r="M259" s="16">
        <v>212000</v>
      </c>
      <c r="N259" s="17">
        <f t="shared" ref="N259:N272" si="8">IFERROR(AVERAGE(B259:M259),"")</f>
        <v>420863.63636363635</v>
      </c>
    </row>
    <row r="260" spans="1:14" x14ac:dyDescent="0.25">
      <c r="A260" s="15">
        <f>'[2]gorcarqnery yst tesakneri'!A248</f>
        <v>45138</v>
      </c>
      <c r="B260" s="16">
        <v>833500</v>
      </c>
      <c r="C260" s="16">
        <v>587000</v>
      </c>
      <c r="D260" s="16">
        <v>402100</v>
      </c>
      <c r="E260" s="16">
        <v>361000</v>
      </c>
      <c r="F260" s="16">
        <v>375100</v>
      </c>
      <c r="G260" s="16">
        <v>365100</v>
      </c>
      <c r="H260" s="16">
        <v>427500</v>
      </c>
      <c r="I260" s="16">
        <v>380000</v>
      </c>
      <c r="J260" s="16">
        <v>368500</v>
      </c>
      <c r="K260" s="16">
        <v>366000</v>
      </c>
      <c r="L260" s="16"/>
      <c r="M260" s="16">
        <v>214500</v>
      </c>
      <c r="N260" s="17">
        <f t="shared" si="8"/>
        <v>425481.81818181818</v>
      </c>
    </row>
    <row r="261" spans="1:14" x14ac:dyDescent="0.25">
      <c r="A261" s="15">
        <f>'[2]gorcarqnery yst tesakneri'!A249</f>
        <v>45169</v>
      </c>
      <c r="B261" s="16">
        <v>840300</v>
      </c>
      <c r="C261" s="16">
        <v>593200</v>
      </c>
      <c r="D261" s="16">
        <v>404000</v>
      </c>
      <c r="E261" s="16">
        <v>365050</v>
      </c>
      <c r="F261" s="16">
        <v>378500</v>
      </c>
      <c r="G261" s="16">
        <v>368600</v>
      </c>
      <c r="H261" s="16">
        <v>432000</v>
      </c>
      <c r="I261" s="16">
        <v>378000</v>
      </c>
      <c r="J261" s="16">
        <v>366600</v>
      </c>
      <c r="K261" s="16">
        <v>365500</v>
      </c>
      <c r="L261" s="16"/>
      <c r="M261" s="16">
        <v>216000</v>
      </c>
      <c r="N261" s="17">
        <f t="shared" si="8"/>
        <v>427977.27272727271</v>
      </c>
    </row>
    <row r="262" spans="1:14" x14ac:dyDescent="0.25">
      <c r="A262" s="15">
        <f>'[2]gorcarqnery yst tesakneri'!A250</f>
        <v>45199</v>
      </c>
      <c r="B262" s="16">
        <v>860000</v>
      </c>
      <c r="C262" s="16">
        <v>603500</v>
      </c>
      <c r="D262" s="16">
        <v>409100</v>
      </c>
      <c r="E262" s="16">
        <v>370500</v>
      </c>
      <c r="F262" s="16">
        <v>382900</v>
      </c>
      <c r="G262" s="16">
        <v>373000</v>
      </c>
      <c r="H262" s="16">
        <v>438500</v>
      </c>
      <c r="I262" s="16">
        <v>381000</v>
      </c>
      <c r="J262" s="16">
        <v>369500</v>
      </c>
      <c r="K262" s="16">
        <v>370100</v>
      </c>
      <c r="L262" s="16"/>
      <c r="M262" s="16">
        <v>218000</v>
      </c>
      <c r="N262" s="17">
        <f t="shared" si="8"/>
        <v>434190.90909090912</v>
      </c>
    </row>
    <row r="263" spans="1:14" x14ac:dyDescent="0.25">
      <c r="A263" s="15">
        <f>'[2]gorcarqnery yst tesakneri'!A251</f>
        <v>45230</v>
      </c>
      <c r="B263" s="16">
        <v>885100</v>
      </c>
      <c r="C263" s="16">
        <v>621200</v>
      </c>
      <c r="D263" s="16">
        <v>420000</v>
      </c>
      <c r="E263" s="16">
        <v>381000</v>
      </c>
      <c r="F263" s="16">
        <v>392200</v>
      </c>
      <c r="G263" s="16">
        <v>381100</v>
      </c>
      <c r="H263" s="16">
        <v>451000</v>
      </c>
      <c r="I263" s="16">
        <v>394050</v>
      </c>
      <c r="J263" s="16">
        <v>375200</v>
      </c>
      <c r="K263" s="16">
        <v>381000</v>
      </c>
      <c r="L263" s="16"/>
      <c r="M263" s="16">
        <v>223100</v>
      </c>
      <c r="N263" s="17">
        <f t="shared" si="8"/>
        <v>445904.54545454547</v>
      </c>
    </row>
    <row r="264" spans="1:14" x14ac:dyDescent="0.25">
      <c r="A264" s="15">
        <f>'[2]gorcarqnery yst tesakneri'!A252</f>
        <v>45260</v>
      </c>
      <c r="B264" s="16">
        <v>893300</v>
      </c>
      <c r="C264" s="16">
        <v>627500</v>
      </c>
      <c r="D264" s="16">
        <v>423200</v>
      </c>
      <c r="E264" s="16">
        <v>383100</v>
      </c>
      <c r="F264" s="16">
        <v>395300</v>
      </c>
      <c r="G264" s="16">
        <v>385000</v>
      </c>
      <c r="H264" s="16">
        <v>456500</v>
      </c>
      <c r="I264" s="16">
        <v>398300</v>
      </c>
      <c r="J264" s="16">
        <v>380000</v>
      </c>
      <c r="K264" s="16">
        <v>384500</v>
      </c>
      <c r="L264" s="16"/>
      <c r="M264" s="16">
        <v>224200</v>
      </c>
      <c r="N264" s="17">
        <f t="shared" si="8"/>
        <v>450081.81818181818</v>
      </c>
    </row>
    <row r="265" spans="1:14" x14ac:dyDescent="0.25">
      <c r="A265" s="15">
        <f>'[2]gorcarqnery yst tesakneri'!A253</f>
        <v>45291</v>
      </c>
      <c r="B265" s="16">
        <v>900000</v>
      </c>
      <c r="C265" s="16">
        <v>633300</v>
      </c>
      <c r="D265" s="16">
        <v>425600</v>
      </c>
      <c r="E265" s="16">
        <v>385300</v>
      </c>
      <c r="F265" s="16">
        <v>397600</v>
      </c>
      <c r="G265" s="16">
        <v>388200</v>
      </c>
      <c r="H265" s="16">
        <v>460000</v>
      </c>
      <c r="I265" s="16">
        <v>401300</v>
      </c>
      <c r="J265" s="16">
        <v>383200</v>
      </c>
      <c r="K265" s="16">
        <v>387100</v>
      </c>
      <c r="L265" s="16"/>
      <c r="M265" s="16">
        <v>226000</v>
      </c>
      <c r="N265" s="17">
        <f t="shared" si="8"/>
        <v>453418.18181818182</v>
      </c>
    </row>
    <row r="266" spans="1:14" x14ac:dyDescent="0.25">
      <c r="A266" s="15">
        <f>'[1]gorcarqnery yst tesakneri'!A254</f>
        <v>45322</v>
      </c>
      <c r="B266" s="16">
        <v>900000</v>
      </c>
      <c r="C266" s="16">
        <v>635000</v>
      </c>
      <c r="D266" s="16">
        <v>424200</v>
      </c>
      <c r="E266" s="16">
        <v>390000</v>
      </c>
      <c r="F266" s="16">
        <v>400100</v>
      </c>
      <c r="G266" s="16">
        <v>391000</v>
      </c>
      <c r="H266" s="16">
        <v>466500</v>
      </c>
      <c r="I266" s="16">
        <v>403500</v>
      </c>
      <c r="J266" s="16">
        <v>384000</v>
      </c>
      <c r="K266" s="16">
        <v>390000</v>
      </c>
      <c r="L266" s="16"/>
      <c r="M266" s="16">
        <v>228100</v>
      </c>
      <c r="N266" s="17">
        <f t="shared" si="8"/>
        <v>455672.72727272729</v>
      </c>
    </row>
    <row r="267" spans="1:14" x14ac:dyDescent="0.25">
      <c r="A267" s="15">
        <f>'[1]gorcarqnery yst tesakneri'!A255</f>
        <v>45351</v>
      </c>
      <c r="B267" s="16">
        <v>903500</v>
      </c>
      <c r="C267" s="16">
        <v>639500</v>
      </c>
      <c r="D267" s="16">
        <v>427500</v>
      </c>
      <c r="E267" s="16">
        <v>392050</v>
      </c>
      <c r="F267" s="16">
        <v>402300</v>
      </c>
      <c r="G267" s="16">
        <v>393000</v>
      </c>
      <c r="H267" s="16">
        <v>470000</v>
      </c>
      <c r="I267" s="16">
        <v>405300</v>
      </c>
      <c r="J267" s="16">
        <v>385000</v>
      </c>
      <c r="K267" s="16">
        <v>393200</v>
      </c>
      <c r="L267" s="16"/>
      <c r="M267" s="16">
        <v>228100</v>
      </c>
      <c r="N267" s="17">
        <f t="shared" si="8"/>
        <v>458131.81818181818</v>
      </c>
    </row>
    <row r="268" spans="1:14" x14ac:dyDescent="0.25">
      <c r="A268" s="15">
        <f>'[1]gorcarqnery yst tesakneri'!A256</f>
        <v>45382</v>
      </c>
      <c r="B268" s="16">
        <v>902000</v>
      </c>
      <c r="C268" s="16">
        <v>637500</v>
      </c>
      <c r="D268" s="16">
        <v>428300</v>
      </c>
      <c r="E268" s="16">
        <v>393200</v>
      </c>
      <c r="F268" s="16">
        <v>400500</v>
      </c>
      <c r="G268" s="16">
        <v>394500</v>
      </c>
      <c r="H268" s="16">
        <v>471500</v>
      </c>
      <c r="I268" s="16">
        <v>406000</v>
      </c>
      <c r="J268" s="16">
        <v>386500</v>
      </c>
      <c r="K268" s="16">
        <v>394000</v>
      </c>
      <c r="L268" s="16"/>
      <c r="M268" s="16">
        <v>226500</v>
      </c>
      <c r="N268" s="17">
        <f t="shared" si="8"/>
        <v>458227.27272727271</v>
      </c>
    </row>
    <row r="269" spans="1:14" x14ac:dyDescent="0.25">
      <c r="A269" s="15">
        <f>'[1]gorcarqnery yst tesakneri'!A257</f>
        <v>45412</v>
      </c>
      <c r="B269" s="16">
        <v>905500</v>
      </c>
      <c r="C269" s="16">
        <v>635000</v>
      </c>
      <c r="D269" s="16">
        <v>429000</v>
      </c>
      <c r="E269" s="16">
        <v>391100</v>
      </c>
      <c r="F269" s="16">
        <v>401050</v>
      </c>
      <c r="G269" s="16">
        <v>395200</v>
      </c>
      <c r="H269" s="16">
        <v>469100</v>
      </c>
      <c r="I269" s="16">
        <v>407100</v>
      </c>
      <c r="J269" s="16">
        <v>387000</v>
      </c>
      <c r="K269" s="16">
        <v>393000</v>
      </c>
      <c r="L269" s="16"/>
      <c r="M269" s="16">
        <v>227000</v>
      </c>
      <c r="N269" s="17">
        <f t="shared" si="8"/>
        <v>458186.36363636365</v>
      </c>
    </row>
    <row r="270" spans="1:14" x14ac:dyDescent="0.25">
      <c r="A270" s="15">
        <f>'[1]gorcarqnery yst tesakneri'!A258</f>
        <v>45443</v>
      </c>
      <c r="B270" s="16">
        <v>907300</v>
      </c>
      <c r="C270" s="16">
        <v>635500</v>
      </c>
      <c r="D270" s="16">
        <v>430100</v>
      </c>
      <c r="E270" s="16">
        <v>392050</v>
      </c>
      <c r="F270" s="16">
        <v>402200</v>
      </c>
      <c r="G270" s="16">
        <v>396000</v>
      </c>
      <c r="H270" s="16">
        <v>470500</v>
      </c>
      <c r="I270" s="16">
        <v>406000</v>
      </c>
      <c r="J270" s="16">
        <v>386200</v>
      </c>
      <c r="K270" s="16">
        <v>393500</v>
      </c>
      <c r="L270" s="16"/>
      <c r="M270" s="16">
        <v>227500</v>
      </c>
      <c r="N270" s="17">
        <f t="shared" si="8"/>
        <v>458804.54545454547</v>
      </c>
    </row>
    <row r="271" spans="1:14" x14ac:dyDescent="0.25">
      <c r="A271" s="15">
        <f>'[1]gorcarqnery yst tesakneri'!A259</f>
        <v>45473</v>
      </c>
      <c r="B271" s="16">
        <v>911500</v>
      </c>
      <c r="C271" s="16">
        <v>633000</v>
      </c>
      <c r="D271" s="16">
        <v>433200</v>
      </c>
      <c r="E271" s="16">
        <v>394050</v>
      </c>
      <c r="F271" s="16">
        <v>403100</v>
      </c>
      <c r="G271" s="16">
        <v>396000</v>
      </c>
      <c r="H271" s="16">
        <v>472500</v>
      </c>
      <c r="I271" s="16">
        <v>408100</v>
      </c>
      <c r="J271" s="16">
        <v>387000</v>
      </c>
      <c r="K271" s="16">
        <v>392300</v>
      </c>
      <c r="L271" s="16"/>
      <c r="M271" s="16">
        <v>226200</v>
      </c>
      <c r="N271" s="17">
        <f>IFERROR(AVERAGE(B271:M271),"")</f>
        <v>459722.72727272729</v>
      </c>
    </row>
    <row r="272" spans="1:14" x14ac:dyDescent="0.25">
      <c r="A272" s="15">
        <f>'[1]gorcarqnery yst tesakneri'!A260</f>
        <v>45504</v>
      </c>
      <c r="B272" s="16">
        <v>900000</v>
      </c>
      <c r="C272" s="16">
        <v>628500</v>
      </c>
      <c r="D272" s="16">
        <v>438500</v>
      </c>
      <c r="E272" s="16">
        <v>398000</v>
      </c>
      <c r="F272" s="16">
        <v>407000</v>
      </c>
      <c r="G272" s="16">
        <v>400000</v>
      </c>
      <c r="H272" s="16">
        <v>476000</v>
      </c>
      <c r="I272" s="16">
        <v>412000</v>
      </c>
      <c r="J272" s="16">
        <v>390200</v>
      </c>
      <c r="K272" s="16">
        <v>398000</v>
      </c>
      <c r="L272" s="16"/>
      <c r="M272" s="16">
        <v>229050</v>
      </c>
      <c r="N272" s="17">
        <f t="shared" si="8"/>
        <v>461568.18181818182</v>
      </c>
    </row>
    <row r="273" spans="1:17" x14ac:dyDescent="0.25">
      <c r="A273" s="15">
        <f>'[1]gorcarqnery yst tesakneri'!A261</f>
        <v>45535</v>
      </c>
      <c r="B273" s="16">
        <v>903050</v>
      </c>
      <c r="C273" s="16">
        <v>631700</v>
      </c>
      <c r="D273" s="16">
        <v>440500</v>
      </c>
      <c r="E273" s="16">
        <v>400300</v>
      </c>
      <c r="F273" s="16">
        <v>408100</v>
      </c>
      <c r="G273" s="16">
        <v>400800</v>
      </c>
      <c r="H273" s="16">
        <v>478900</v>
      </c>
      <c r="I273" s="16">
        <v>410000</v>
      </c>
      <c r="J273" s="16">
        <v>391000</v>
      </c>
      <c r="K273" s="16">
        <v>399700</v>
      </c>
      <c r="L273" s="16"/>
      <c r="M273" s="16">
        <v>230200</v>
      </c>
      <c r="N273" s="17">
        <f>IFERROR(AVERAGE(B273:M273),"")</f>
        <v>463113.63636363635</v>
      </c>
    </row>
    <row r="274" spans="1:17" x14ac:dyDescent="0.25">
      <c r="A274" s="15">
        <f>'[1]gorcarqnery yst tesakneri'!A262</f>
        <v>45565</v>
      </c>
      <c r="B274" s="16">
        <v>908100</v>
      </c>
      <c r="C274" s="16">
        <v>637800</v>
      </c>
      <c r="D274" s="16">
        <v>444500</v>
      </c>
      <c r="E274" s="16">
        <v>405000</v>
      </c>
      <c r="F274" s="16">
        <v>411000</v>
      </c>
      <c r="G274" s="16">
        <v>404000</v>
      </c>
      <c r="H274" s="16">
        <v>481500</v>
      </c>
      <c r="I274" s="16">
        <v>414600</v>
      </c>
      <c r="J274" s="16">
        <v>394100</v>
      </c>
      <c r="K274" s="16">
        <v>402000</v>
      </c>
      <c r="L274" s="16"/>
      <c r="M274" s="16">
        <v>231100</v>
      </c>
      <c r="N274" s="17">
        <f>IFERROR(AVERAGE(B274:M274),"")</f>
        <v>466700</v>
      </c>
    </row>
    <row r="275" spans="1:17" x14ac:dyDescent="0.25">
      <c r="A275" s="15">
        <f>'[1]gorcarqnery yst tesakneri'!A263</f>
        <v>45596</v>
      </c>
      <c r="B275" s="16">
        <v>906000</v>
      </c>
      <c r="C275" s="16">
        <v>644800</v>
      </c>
      <c r="D275" s="16">
        <v>446100</v>
      </c>
      <c r="E275" s="16">
        <v>410100</v>
      </c>
      <c r="F275" s="16">
        <v>415000</v>
      </c>
      <c r="G275" s="16">
        <v>408200</v>
      </c>
      <c r="H275" s="16">
        <v>490000</v>
      </c>
      <c r="I275" s="16">
        <v>420000</v>
      </c>
      <c r="J275" s="16">
        <v>398500</v>
      </c>
      <c r="K275" s="16">
        <v>406500</v>
      </c>
      <c r="L275" s="16"/>
      <c r="M275" s="16">
        <v>233500</v>
      </c>
      <c r="N275" s="17">
        <f>IFERROR(AVERAGE(B275:M275),"")</f>
        <v>470790.90909090912</v>
      </c>
    </row>
    <row r="276" spans="1:17" x14ac:dyDescent="0.25">
      <c r="A276" s="15">
        <f>'[1]gorcarqnery yst tesakneri'!A264</f>
        <v>45626</v>
      </c>
      <c r="B276" s="16">
        <v>911100</v>
      </c>
      <c r="C276" s="16">
        <v>646500</v>
      </c>
      <c r="D276" s="16">
        <v>450400</v>
      </c>
      <c r="E276" s="16">
        <v>410100</v>
      </c>
      <c r="F276" s="16">
        <v>417100</v>
      </c>
      <c r="G276" s="16">
        <v>407000</v>
      </c>
      <c r="H276" s="16">
        <v>489050</v>
      </c>
      <c r="I276" s="16">
        <v>418500</v>
      </c>
      <c r="J276" s="16">
        <v>398500</v>
      </c>
      <c r="K276" s="16">
        <v>407300</v>
      </c>
      <c r="L276" s="16"/>
      <c r="M276" s="16">
        <v>235000</v>
      </c>
      <c r="N276" s="17">
        <f>IFERROR(AVERAGE(B276:M276),"")</f>
        <v>471868.18181818182</v>
      </c>
    </row>
    <row r="277" spans="1:17" x14ac:dyDescent="0.25">
      <c r="A277" s="15">
        <f>'[1]gorcarqnery yst tesakneri'!A265</f>
        <v>45657</v>
      </c>
      <c r="B277" s="16">
        <v>909100</v>
      </c>
      <c r="C277" s="16">
        <v>643100</v>
      </c>
      <c r="D277" s="16">
        <v>450400</v>
      </c>
      <c r="E277" s="16">
        <v>412000</v>
      </c>
      <c r="F277" s="16">
        <v>418000</v>
      </c>
      <c r="G277" s="16">
        <v>407000</v>
      </c>
      <c r="H277" s="16">
        <v>485000</v>
      </c>
      <c r="I277" s="16">
        <v>415200</v>
      </c>
      <c r="J277" s="16">
        <v>400000</v>
      </c>
      <c r="K277" s="16">
        <v>410000</v>
      </c>
      <c r="L277" s="16"/>
      <c r="M277" s="16">
        <v>236500</v>
      </c>
      <c r="N277" s="17">
        <f>IFERROR(AVERAGE(B277:M277),"")</f>
        <v>471481.81818181818</v>
      </c>
    </row>
    <row r="278" spans="1:17" x14ac:dyDescent="0.25">
      <c r="A278" s="15">
        <f>'[1]gorcarqnery yst tesakneri'!A266</f>
        <v>45688</v>
      </c>
      <c r="B278" s="16">
        <v>901000</v>
      </c>
      <c r="C278" s="16">
        <v>636100</v>
      </c>
      <c r="D278" s="16">
        <v>447000</v>
      </c>
      <c r="E278" s="16">
        <v>410000</v>
      </c>
      <c r="F278" s="16">
        <v>417500</v>
      </c>
      <c r="G278" s="16">
        <v>398500</v>
      </c>
      <c r="H278" s="16">
        <v>482000</v>
      </c>
      <c r="I278" s="16">
        <v>413100</v>
      </c>
      <c r="J278" s="16">
        <v>389500</v>
      </c>
      <c r="K278" s="16">
        <v>400100</v>
      </c>
      <c r="L278" s="16">
        <v>386600</v>
      </c>
      <c r="M278" s="16">
        <v>236500</v>
      </c>
      <c r="N278" s="17">
        <f t="shared" ref="N278:N283" si="9">IFERROR(AVERAGE(B278:K278, M278),"")</f>
        <v>466481.81818181818</v>
      </c>
      <c r="O278" s="20"/>
    </row>
    <row r="279" spans="1:17" x14ac:dyDescent="0.25">
      <c r="A279" s="15">
        <f>'[1]gorcarqnery yst tesakneri'!A267</f>
        <v>45716</v>
      </c>
      <c r="B279" s="16">
        <v>900000</v>
      </c>
      <c r="C279" s="16">
        <v>626500</v>
      </c>
      <c r="D279" s="16">
        <v>451500</v>
      </c>
      <c r="E279" s="16">
        <v>407000</v>
      </c>
      <c r="F279" s="16">
        <v>413000</v>
      </c>
      <c r="G279" s="16">
        <v>395500</v>
      </c>
      <c r="H279" s="16">
        <v>482000</v>
      </c>
      <c r="I279" s="16">
        <v>413100</v>
      </c>
      <c r="J279" s="16">
        <v>385000</v>
      </c>
      <c r="K279" s="16">
        <v>397000</v>
      </c>
      <c r="L279" s="16">
        <v>407800</v>
      </c>
      <c r="M279" s="16">
        <v>238000</v>
      </c>
      <c r="N279" s="17">
        <f t="shared" si="9"/>
        <v>464418.18181818182</v>
      </c>
      <c r="O279" s="21"/>
      <c r="P279" s="21"/>
      <c r="Q279" s="22"/>
    </row>
    <row r="280" spans="1:17" x14ac:dyDescent="0.25">
      <c r="A280" s="15">
        <f>'[1]gorcarqnery yst tesakneri'!A268</f>
        <v>45747</v>
      </c>
      <c r="B280" s="16">
        <v>893000</v>
      </c>
      <c r="C280" s="16">
        <v>622000</v>
      </c>
      <c r="D280" s="16">
        <v>448000</v>
      </c>
      <c r="E280" s="16">
        <v>410000</v>
      </c>
      <c r="F280" s="16">
        <v>410000</v>
      </c>
      <c r="G280" s="16">
        <v>392000</v>
      </c>
      <c r="H280" s="16">
        <v>479000</v>
      </c>
      <c r="I280" s="16">
        <v>410000</v>
      </c>
      <c r="J280" s="16">
        <v>388100</v>
      </c>
      <c r="K280" s="16">
        <v>393500</v>
      </c>
      <c r="L280" s="16">
        <v>407800</v>
      </c>
      <c r="M280" s="16">
        <v>236100</v>
      </c>
      <c r="N280" s="17">
        <f t="shared" si="9"/>
        <v>461972.72727272729</v>
      </c>
      <c r="O280" s="23"/>
      <c r="P280" s="23"/>
      <c r="Q280" s="22"/>
    </row>
    <row r="281" spans="1:17" x14ac:dyDescent="0.25">
      <c r="A281" s="15">
        <f>'[1]gorcarqnery yst tesakneri'!A269</f>
        <v>45777</v>
      </c>
      <c r="B281" s="16">
        <v>890000</v>
      </c>
      <c r="C281" s="16">
        <v>618500</v>
      </c>
      <c r="D281" s="16">
        <v>446000</v>
      </c>
      <c r="E281" s="16">
        <v>408100</v>
      </c>
      <c r="F281" s="16">
        <v>408000</v>
      </c>
      <c r="G281" s="16">
        <v>394100</v>
      </c>
      <c r="H281" s="16">
        <v>475000</v>
      </c>
      <c r="I281" s="16">
        <v>413500</v>
      </c>
      <c r="J281" s="16">
        <v>388100</v>
      </c>
      <c r="K281" s="16">
        <v>396000</v>
      </c>
      <c r="L281" s="16">
        <v>450000</v>
      </c>
      <c r="M281" s="16">
        <v>238000</v>
      </c>
      <c r="N281" s="17">
        <f t="shared" si="9"/>
        <v>461390.90909090912</v>
      </c>
      <c r="O281" s="23"/>
      <c r="P281" s="23"/>
      <c r="Q281" s="22"/>
    </row>
    <row r="282" spans="1:17" x14ac:dyDescent="0.25">
      <c r="A282" s="15">
        <f>'[1]gorcarqnery yst tesakneri'!A270</f>
        <v>45808</v>
      </c>
      <c r="B282" s="16">
        <v>880100</v>
      </c>
      <c r="C282" s="16">
        <v>619000</v>
      </c>
      <c r="D282" s="16">
        <v>443100</v>
      </c>
      <c r="E282" s="16">
        <v>410000</v>
      </c>
      <c r="F282" s="16">
        <v>405000</v>
      </c>
      <c r="G282" s="16">
        <v>393000</v>
      </c>
      <c r="H282" s="16">
        <v>475000</v>
      </c>
      <c r="I282" s="16">
        <v>415000</v>
      </c>
      <c r="J282" s="16">
        <v>388100</v>
      </c>
      <c r="K282" s="16">
        <v>397200</v>
      </c>
      <c r="L282" s="16">
        <v>445500</v>
      </c>
      <c r="M282" s="16">
        <v>236000</v>
      </c>
      <c r="N282" s="17">
        <f t="shared" si="9"/>
        <v>460136.36363636365</v>
      </c>
      <c r="O282" s="23"/>
      <c r="P282" s="23"/>
      <c r="Q282" s="22"/>
    </row>
    <row r="283" spans="1:17" x14ac:dyDescent="0.25">
      <c r="A283" s="15">
        <f>'[1]gorcarqnery yst tesakneri'!A271</f>
        <v>45838</v>
      </c>
      <c r="B283" s="16">
        <v>878000</v>
      </c>
      <c r="C283" s="16">
        <v>622500</v>
      </c>
      <c r="D283" s="16">
        <v>441500</v>
      </c>
      <c r="E283" s="16">
        <v>412500</v>
      </c>
      <c r="F283" s="16">
        <v>403200</v>
      </c>
      <c r="G283" s="16">
        <v>391200</v>
      </c>
      <c r="H283" s="16">
        <v>474100</v>
      </c>
      <c r="I283" s="16">
        <v>414200</v>
      </c>
      <c r="J283" s="16">
        <v>390200</v>
      </c>
      <c r="K283" s="16">
        <v>399000</v>
      </c>
      <c r="L283" s="16">
        <v>442000</v>
      </c>
      <c r="M283" s="16">
        <v>236000</v>
      </c>
      <c r="N283" s="17">
        <f t="shared" si="9"/>
        <v>460218.18181818182</v>
      </c>
      <c r="O283" s="23"/>
      <c r="P283" s="23"/>
      <c r="Q283" s="22"/>
    </row>
    <row r="284" spans="1:17" x14ac:dyDescent="0.25">
      <c r="A284" s="15">
        <f>'[1]gorcarqnery yst tesakneri'!A272</f>
        <v>45869</v>
      </c>
      <c r="B284" s="16">
        <v>880100</v>
      </c>
      <c r="C284" s="16">
        <v>619500</v>
      </c>
      <c r="D284" s="16">
        <v>440000</v>
      </c>
      <c r="E284" s="16">
        <v>413000</v>
      </c>
      <c r="F284" s="16">
        <v>404500</v>
      </c>
      <c r="G284" s="16">
        <v>393500</v>
      </c>
      <c r="H284" s="16">
        <v>478500</v>
      </c>
      <c r="I284" s="16">
        <v>416000</v>
      </c>
      <c r="J284" s="16">
        <v>391000</v>
      </c>
      <c r="K284" s="16">
        <v>395000</v>
      </c>
      <c r="L284" s="16">
        <v>444200</v>
      </c>
      <c r="M284" s="16">
        <v>237000</v>
      </c>
      <c r="N284" s="17">
        <f>IFERROR(AVERAGE(B284:K284, M284),"")</f>
        <v>460736.36363636365</v>
      </c>
      <c r="O284" s="24"/>
      <c r="P284" s="23"/>
      <c r="Q284" s="22"/>
    </row>
    <row r="285" spans="1:17" x14ac:dyDescent="0.25">
      <c r="A285" s="15">
        <f>'[1]gorcarqnery yst tesakneri'!A273</f>
        <v>45900</v>
      </c>
      <c r="B285" s="16">
        <v>881000</v>
      </c>
      <c r="C285" s="16">
        <v>620500</v>
      </c>
      <c r="D285" s="16">
        <v>442500</v>
      </c>
      <c r="E285" s="16">
        <v>414500</v>
      </c>
      <c r="F285" s="16">
        <v>401000</v>
      </c>
      <c r="G285" s="16">
        <v>391000</v>
      </c>
      <c r="H285" s="16">
        <v>475000</v>
      </c>
      <c r="I285" s="16">
        <v>417500</v>
      </c>
      <c r="J285" s="16">
        <v>390500</v>
      </c>
      <c r="K285" s="16">
        <v>394100</v>
      </c>
      <c r="L285" s="16">
        <v>450500</v>
      </c>
      <c r="M285" s="16">
        <v>237000</v>
      </c>
      <c r="N285" s="17">
        <f>IFERROR(AVERAGE(B285:K285, M285),"")</f>
        <v>460418.18181818182</v>
      </c>
      <c r="O285" s="24"/>
      <c r="P285" s="23"/>
      <c r="Q285" s="22"/>
    </row>
    <row r="286" spans="1:17" x14ac:dyDescent="0.25">
      <c r="A286" s="15">
        <f>'[1]gorcarqnery yst tesakneri'!A274</f>
        <v>45930</v>
      </c>
      <c r="B286" s="16">
        <v>900000</v>
      </c>
      <c r="C286" s="16">
        <v>630000</v>
      </c>
      <c r="D286" s="16">
        <v>446000</v>
      </c>
      <c r="E286" s="16">
        <v>416200</v>
      </c>
      <c r="F286" s="16">
        <v>401000</v>
      </c>
      <c r="G286" s="16">
        <v>393500</v>
      </c>
      <c r="H286" s="16">
        <v>472100</v>
      </c>
      <c r="I286" s="16">
        <v>420000</v>
      </c>
      <c r="J286" s="16">
        <v>392000</v>
      </c>
      <c r="K286" s="16">
        <v>396000</v>
      </c>
      <c r="L286" s="16">
        <v>452000</v>
      </c>
      <c r="M286" s="16">
        <v>239400</v>
      </c>
      <c r="N286" s="17">
        <f>IFERROR(AVERAGE(B286:K286, M286),"")</f>
        <v>464200</v>
      </c>
      <c r="O286" s="24"/>
      <c r="P286" s="23"/>
      <c r="Q286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14C3-460E-4F0B-B937-89B0B21D7B8F}">
  <dimension ref="A1:JZ238"/>
  <sheetViews>
    <sheetView tabSelected="1" workbookViewId="0">
      <pane xSplit="1" topLeftCell="JF1" activePane="topRight" state="frozen"/>
      <selection pane="topRight" activeCell="JG16" sqref="JG16"/>
    </sheetView>
  </sheetViews>
  <sheetFormatPr defaultRowHeight="15" x14ac:dyDescent="0.25"/>
  <cols>
    <col min="1" max="1" width="34.42578125" style="29" bestFit="1" customWidth="1"/>
    <col min="512" max="512" width="34.42578125" bestFit="1" customWidth="1"/>
    <col min="768" max="768" width="34.42578125" bestFit="1" customWidth="1"/>
    <col min="1024" max="1024" width="34.42578125" bestFit="1" customWidth="1"/>
    <col min="1280" max="1280" width="34.42578125" bestFit="1" customWidth="1"/>
    <col min="1536" max="1536" width="34.42578125" bestFit="1" customWidth="1"/>
    <col min="1792" max="1792" width="34.42578125" bestFit="1" customWidth="1"/>
    <col min="2048" max="2048" width="34.42578125" bestFit="1" customWidth="1"/>
    <col min="2304" max="2304" width="34.42578125" bestFit="1" customWidth="1"/>
    <col min="2560" max="2560" width="34.42578125" bestFit="1" customWidth="1"/>
    <col min="2816" max="2816" width="34.42578125" bestFit="1" customWidth="1"/>
    <col min="3072" max="3072" width="34.42578125" bestFit="1" customWidth="1"/>
    <col min="3328" max="3328" width="34.42578125" bestFit="1" customWidth="1"/>
    <col min="3584" max="3584" width="34.42578125" bestFit="1" customWidth="1"/>
    <col min="3840" max="3840" width="34.42578125" bestFit="1" customWidth="1"/>
    <col min="4096" max="4096" width="34.42578125" bestFit="1" customWidth="1"/>
    <col min="4352" max="4352" width="34.42578125" bestFit="1" customWidth="1"/>
    <col min="4608" max="4608" width="34.42578125" bestFit="1" customWidth="1"/>
    <col min="4864" max="4864" width="34.42578125" bestFit="1" customWidth="1"/>
    <col min="5120" max="5120" width="34.42578125" bestFit="1" customWidth="1"/>
    <col min="5376" max="5376" width="34.42578125" bestFit="1" customWidth="1"/>
    <col min="5632" max="5632" width="34.42578125" bestFit="1" customWidth="1"/>
    <col min="5888" max="5888" width="34.42578125" bestFit="1" customWidth="1"/>
    <col min="6144" max="6144" width="34.42578125" bestFit="1" customWidth="1"/>
    <col min="6400" max="6400" width="34.42578125" bestFit="1" customWidth="1"/>
    <col min="6656" max="6656" width="34.42578125" bestFit="1" customWidth="1"/>
    <col min="6912" max="6912" width="34.42578125" bestFit="1" customWidth="1"/>
    <col min="7168" max="7168" width="34.42578125" bestFit="1" customWidth="1"/>
    <col min="7424" max="7424" width="34.42578125" bestFit="1" customWidth="1"/>
    <col min="7680" max="7680" width="34.42578125" bestFit="1" customWidth="1"/>
    <col min="7936" max="7936" width="34.42578125" bestFit="1" customWidth="1"/>
    <col min="8192" max="8192" width="34.42578125" bestFit="1" customWidth="1"/>
    <col min="8448" max="8448" width="34.42578125" bestFit="1" customWidth="1"/>
    <col min="8704" max="8704" width="34.42578125" bestFit="1" customWidth="1"/>
    <col min="8960" max="8960" width="34.42578125" bestFit="1" customWidth="1"/>
    <col min="9216" max="9216" width="34.42578125" bestFit="1" customWidth="1"/>
    <col min="9472" max="9472" width="34.42578125" bestFit="1" customWidth="1"/>
    <col min="9728" max="9728" width="34.42578125" bestFit="1" customWidth="1"/>
    <col min="9984" max="9984" width="34.42578125" bestFit="1" customWidth="1"/>
    <col min="10240" max="10240" width="34.42578125" bestFit="1" customWidth="1"/>
    <col min="10496" max="10496" width="34.42578125" bestFit="1" customWidth="1"/>
    <col min="10752" max="10752" width="34.42578125" bestFit="1" customWidth="1"/>
    <col min="11008" max="11008" width="34.42578125" bestFit="1" customWidth="1"/>
    <col min="11264" max="11264" width="34.42578125" bestFit="1" customWidth="1"/>
    <col min="11520" max="11520" width="34.42578125" bestFit="1" customWidth="1"/>
    <col min="11776" max="11776" width="34.42578125" bestFit="1" customWidth="1"/>
    <col min="12032" max="12032" width="34.42578125" bestFit="1" customWidth="1"/>
    <col min="12288" max="12288" width="34.42578125" bestFit="1" customWidth="1"/>
    <col min="12544" max="12544" width="34.42578125" bestFit="1" customWidth="1"/>
    <col min="12800" max="12800" width="34.42578125" bestFit="1" customWidth="1"/>
    <col min="13056" max="13056" width="34.42578125" bestFit="1" customWidth="1"/>
    <col min="13312" max="13312" width="34.42578125" bestFit="1" customWidth="1"/>
    <col min="13568" max="13568" width="34.42578125" bestFit="1" customWidth="1"/>
    <col min="13824" max="13824" width="34.42578125" bestFit="1" customWidth="1"/>
    <col min="14080" max="14080" width="34.42578125" bestFit="1" customWidth="1"/>
    <col min="14336" max="14336" width="34.42578125" bestFit="1" customWidth="1"/>
    <col min="14592" max="14592" width="34.42578125" bestFit="1" customWidth="1"/>
    <col min="14848" max="14848" width="34.42578125" bestFit="1" customWidth="1"/>
    <col min="15104" max="15104" width="34.42578125" bestFit="1" customWidth="1"/>
    <col min="15360" max="15360" width="34.42578125" bestFit="1" customWidth="1"/>
    <col min="15616" max="15616" width="34.42578125" bestFit="1" customWidth="1"/>
    <col min="15872" max="15872" width="34.42578125" bestFit="1" customWidth="1"/>
    <col min="16128" max="16128" width="34.42578125" bestFit="1" customWidth="1"/>
  </cols>
  <sheetData>
    <row r="1" spans="1:286" ht="54" x14ac:dyDescent="0.25">
      <c r="A1" s="36" t="s">
        <v>16</v>
      </c>
    </row>
    <row r="2" spans="1:286" x14ac:dyDescent="0.25">
      <c r="A2" s="37" t="s">
        <v>17</v>
      </c>
    </row>
    <row r="3" spans="1:286" s="26" customFormat="1" ht="23.25" customHeight="1" x14ac:dyDescent="0.3">
      <c r="A3" s="37"/>
      <c r="B3" s="25">
        <v>37257</v>
      </c>
      <c r="C3" s="25">
        <v>37288</v>
      </c>
      <c r="D3" s="25">
        <v>37316</v>
      </c>
      <c r="E3" s="25">
        <v>37347</v>
      </c>
      <c r="F3" s="25">
        <v>37377</v>
      </c>
      <c r="G3" s="25">
        <v>37408</v>
      </c>
      <c r="H3" s="25">
        <v>37438</v>
      </c>
      <c r="I3" s="25">
        <v>37469</v>
      </c>
      <c r="J3" s="25">
        <v>37500</v>
      </c>
      <c r="K3" s="25">
        <v>37530</v>
      </c>
      <c r="L3" s="25">
        <v>37561</v>
      </c>
      <c r="M3" s="25">
        <v>37591</v>
      </c>
      <c r="N3" s="25">
        <v>37622</v>
      </c>
      <c r="O3" s="25">
        <v>37653</v>
      </c>
      <c r="P3" s="25">
        <v>37681</v>
      </c>
      <c r="Q3" s="25">
        <v>37712</v>
      </c>
      <c r="R3" s="25">
        <v>37742</v>
      </c>
      <c r="S3" s="25">
        <v>37773</v>
      </c>
      <c r="T3" s="25">
        <v>37803</v>
      </c>
      <c r="U3" s="25">
        <v>37834</v>
      </c>
      <c r="V3" s="25">
        <v>37865</v>
      </c>
      <c r="W3" s="25">
        <v>37895</v>
      </c>
      <c r="X3" s="25">
        <v>37926</v>
      </c>
      <c r="Y3" s="25">
        <v>37956</v>
      </c>
      <c r="Z3" s="25">
        <v>37987</v>
      </c>
      <c r="AA3" s="25">
        <v>38018</v>
      </c>
      <c r="AB3" s="25">
        <v>38047</v>
      </c>
      <c r="AC3" s="25">
        <v>38078</v>
      </c>
      <c r="AD3" s="25">
        <v>38108</v>
      </c>
      <c r="AE3" s="25">
        <v>38139</v>
      </c>
      <c r="AF3" s="25">
        <v>38169</v>
      </c>
      <c r="AG3" s="25">
        <v>38200</v>
      </c>
      <c r="AH3" s="25">
        <v>38231</v>
      </c>
      <c r="AI3" s="25">
        <v>38261</v>
      </c>
      <c r="AJ3" s="25">
        <v>38292</v>
      </c>
      <c r="AK3" s="25">
        <v>38322</v>
      </c>
      <c r="AL3" s="25">
        <v>38353</v>
      </c>
      <c r="AM3" s="25">
        <v>38384</v>
      </c>
      <c r="AN3" s="25">
        <v>38412</v>
      </c>
      <c r="AO3" s="25">
        <v>38443</v>
      </c>
      <c r="AP3" s="25">
        <v>38473</v>
      </c>
      <c r="AQ3" s="25">
        <v>38504</v>
      </c>
      <c r="AR3" s="25">
        <v>38534</v>
      </c>
      <c r="AS3" s="25">
        <v>38565</v>
      </c>
      <c r="AT3" s="25">
        <v>38596</v>
      </c>
      <c r="AU3" s="25">
        <v>38626</v>
      </c>
      <c r="AV3" s="25">
        <v>38657</v>
      </c>
      <c r="AW3" s="25">
        <v>38687</v>
      </c>
      <c r="AX3" s="25">
        <v>38718</v>
      </c>
      <c r="AY3" s="25">
        <v>38749</v>
      </c>
      <c r="AZ3" s="25">
        <v>38777</v>
      </c>
      <c r="BA3" s="25">
        <v>38808</v>
      </c>
      <c r="BB3" s="25">
        <v>38838</v>
      </c>
      <c r="BC3" s="25">
        <v>38869</v>
      </c>
      <c r="BD3" s="25">
        <v>38899</v>
      </c>
      <c r="BE3" s="25">
        <v>38930</v>
      </c>
      <c r="BF3" s="25">
        <v>38961</v>
      </c>
      <c r="BG3" s="25">
        <v>38991</v>
      </c>
      <c r="BH3" s="25">
        <v>39022</v>
      </c>
      <c r="BI3" s="25">
        <v>39052</v>
      </c>
      <c r="BJ3" s="25">
        <v>39083</v>
      </c>
      <c r="BK3" s="25">
        <v>39114</v>
      </c>
      <c r="BL3" s="25">
        <v>39142</v>
      </c>
      <c r="BM3" s="25">
        <v>39173</v>
      </c>
      <c r="BN3" s="25">
        <v>39203</v>
      </c>
      <c r="BO3" s="25">
        <v>39234</v>
      </c>
      <c r="BP3" s="25">
        <v>39264</v>
      </c>
      <c r="BQ3" s="25">
        <v>39295</v>
      </c>
      <c r="BR3" s="25">
        <v>39326</v>
      </c>
      <c r="BS3" s="25">
        <v>39356</v>
      </c>
      <c r="BT3" s="25">
        <v>39387</v>
      </c>
      <c r="BU3" s="25">
        <v>39417</v>
      </c>
      <c r="BV3" s="25">
        <v>39448</v>
      </c>
      <c r="BW3" s="25">
        <v>39479</v>
      </c>
      <c r="BX3" s="25">
        <v>39508</v>
      </c>
      <c r="BY3" s="25">
        <v>39539</v>
      </c>
      <c r="BZ3" s="25">
        <v>39569</v>
      </c>
      <c r="CA3" s="25">
        <v>39600</v>
      </c>
      <c r="CB3" s="25">
        <v>39630</v>
      </c>
      <c r="CC3" s="25">
        <v>39661</v>
      </c>
      <c r="CD3" s="25">
        <v>39692</v>
      </c>
      <c r="CE3" s="25">
        <v>39722</v>
      </c>
      <c r="CF3" s="25">
        <v>39753</v>
      </c>
      <c r="CG3" s="25">
        <v>39783</v>
      </c>
      <c r="CH3" s="25">
        <v>39814</v>
      </c>
      <c r="CI3" s="25">
        <v>39845</v>
      </c>
      <c r="CJ3" s="25">
        <v>39873</v>
      </c>
      <c r="CK3" s="25">
        <v>39904</v>
      </c>
      <c r="CL3" s="25">
        <v>39934</v>
      </c>
      <c r="CM3" s="25">
        <v>39965</v>
      </c>
      <c r="CN3" s="25">
        <v>39995</v>
      </c>
      <c r="CO3" s="25">
        <v>40026</v>
      </c>
      <c r="CP3" s="25">
        <v>40057</v>
      </c>
      <c r="CQ3" s="25">
        <v>40087</v>
      </c>
      <c r="CR3" s="25">
        <v>40118</v>
      </c>
      <c r="CS3" s="25">
        <v>40148</v>
      </c>
      <c r="CT3" s="25">
        <v>40179</v>
      </c>
      <c r="CU3" s="25">
        <v>40210</v>
      </c>
      <c r="CV3" s="25">
        <v>40238</v>
      </c>
      <c r="CW3" s="25">
        <v>40269</v>
      </c>
      <c r="CX3" s="25">
        <v>40299</v>
      </c>
      <c r="CY3" s="25">
        <v>40330</v>
      </c>
      <c r="CZ3" s="25">
        <v>40360</v>
      </c>
      <c r="DA3" s="25">
        <v>40391</v>
      </c>
      <c r="DB3" s="25">
        <v>40422</v>
      </c>
      <c r="DC3" s="25">
        <v>40452</v>
      </c>
      <c r="DD3" s="25">
        <v>40483</v>
      </c>
      <c r="DE3" s="25">
        <v>40513</v>
      </c>
      <c r="DF3" s="25">
        <v>40544</v>
      </c>
      <c r="DG3" s="25">
        <v>40575</v>
      </c>
      <c r="DH3" s="25">
        <v>40603</v>
      </c>
      <c r="DI3" s="25">
        <v>40634</v>
      </c>
      <c r="DJ3" s="25">
        <v>40664</v>
      </c>
      <c r="DK3" s="25">
        <v>40695</v>
      </c>
      <c r="DL3" s="25">
        <v>40725</v>
      </c>
      <c r="DM3" s="25">
        <v>40756</v>
      </c>
      <c r="DN3" s="25">
        <v>40787</v>
      </c>
      <c r="DO3" s="25">
        <v>40817</v>
      </c>
      <c r="DP3" s="25">
        <v>40848</v>
      </c>
      <c r="DQ3" s="25">
        <v>40878</v>
      </c>
      <c r="DR3" s="25">
        <v>40909</v>
      </c>
      <c r="DS3" s="25">
        <v>40940</v>
      </c>
      <c r="DT3" s="25">
        <v>40969</v>
      </c>
      <c r="DU3" s="25">
        <v>41000</v>
      </c>
      <c r="DV3" s="25">
        <v>41030</v>
      </c>
      <c r="DW3" s="25">
        <v>41061</v>
      </c>
      <c r="DX3" s="25">
        <v>41091</v>
      </c>
      <c r="DY3" s="25">
        <v>41122</v>
      </c>
      <c r="DZ3" s="25">
        <v>41153</v>
      </c>
      <c r="EA3" s="25">
        <v>41183</v>
      </c>
      <c r="EB3" s="25">
        <v>41214</v>
      </c>
      <c r="EC3" s="25">
        <v>41244</v>
      </c>
      <c r="ED3" s="25">
        <v>41275</v>
      </c>
      <c r="EE3" s="25">
        <v>41306</v>
      </c>
      <c r="EF3" s="25">
        <v>41334</v>
      </c>
      <c r="EG3" s="25">
        <v>41365</v>
      </c>
      <c r="EH3" s="25">
        <v>41395</v>
      </c>
      <c r="EI3" s="25">
        <v>41426</v>
      </c>
      <c r="EJ3" s="25">
        <v>41456</v>
      </c>
      <c r="EK3" s="25">
        <v>41487</v>
      </c>
      <c r="EL3" s="25">
        <v>41518</v>
      </c>
      <c r="EM3" s="25">
        <v>41548</v>
      </c>
      <c r="EN3" s="25">
        <v>41579</v>
      </c>
      <c r="EO3" s="25">
        <v>41609</v>
      </c>
      <c r="EP3" s="25">
        <v>41640</v>
      </c>
      <c r="EQ3" s="25">
        <v>41671</v>
      </c>
      <c r="ER3" s="25">
        <v>41699</v>
      </c>
      <c r="ES3" s="25">
        <v>41730</v>
      </c>
      <c r="ET3" s="25">
        <v>41760</v>
      </c>
      <c r="EU3" s="25">
        <v>41791</v>
      </c>
      <c r="EV3" s="25">
        <v>41821</v>
      </c>
      <c r="EW3" s="25">
        <v>41852</v>
      </c>
      <c r="EX3" s="25">
        <v>41883</v>
      </c>
      <c r="EY3" s="25">
        <v>41913</v>
      </c>
      <c r="EZ3" s="25">
        <v>41944</v>
      </c>
      <c r="FA3" s="25">
        <v>41974</v>
      </c>
      <c r="FB3" s="25">
        <v>42005</v>
      </c>
      <c r="FC3" s="25">
        <v>42036</v>
      </c>
      <c r="FD3" s="25">
        <v>42064</v>
      </c>
      <c r="FE3" s="25">
        <v>42095</v>
      </c>
      <c r="FF3" s="25">
        <v>42125</v>
      </c>
      <c r="FG3" s="25">
        <v>42156</v>
      </c>
      <c r="FH3" s="25">
        <v>42186</v>
      </c>
      <c r="FI3" s="25">
        <v>42217</v>
      </c>
      <c r="FJ3" s="25">
        <v>42248</v>
      </c>
      <c r="FK3" s="25">
        <v>42278</v>
      </c>
      <c r="FL3" s="25">
        <v>42309</v>
      </c>
      <c r="FM3" s="25">
        <v>42339</v>
      </c>
      <c r="FN3" s="25">
        <v>42370</v>
      </c>
      <c r="FO3" s="25">
        <v>42401</v>
      </c>
      <c r="FP3" s="25">
        <v>42430</v>
      </c>
      <c r="FQ3" s="25">
        <v>42461</v>
      </c>
      <c r="FR3" s="25">
        <v>42491</v>
      </c>
      <c r="FS3" s="25">
        <v>42522</v>
      </c>
      <c r="FT3" s="25">
        <v>42552</v>
      </c>
      <c r="FU3" s="25">
        <v>42583</v>
      </c>
      <c r="FV3" s="25">
        <v>42614</v>
      </c>
      <c r="FW3" s="25">
        <v>42644</v>
      </c>
      <c r="FX3" s="25">
        <v>42675</v>
      </c>
      <c r="FY3" s="25">
        <v>42705</v>
      </c>
      <c r="FZ3" s="25">
        <v>42736</v>
      </c>
      <c r="GA3" s="25">
        <v>42767</v>
      </c>
      <c r="GB3" s="25">
        <v>42795</v>
      </c>
      <c r="GC3" s="25">
        <v>42826</v>
      </c>
      <c r="GD3" s="25">
        <v>42856</v>
      </c>
      <c r="GE3" s="25">
        <v>42887</v>
      </c>
      <c r="GF3" s="25">
        <v>42917</v>
      </c>
      <c r="GG3" s="25">
        <v>42948</v>
      </c>
      <c r="GH3" s="25">
        <v>42979</v>
      </c>
      <c r="GI3" s="25">
        <v>43009</v>
      </c>
      <c r="GJ3" s="25">
        <v>43040</v>
      </c>
      <c r="GK3" s="25">
        <v>43070</v>
      </c>
      <c r="GL3" s="25">
        <v>43101</v>
      </c>
      <c r="GM3" s="25">
        <v>43132</v>
      </c>
      <c r="GN3" s="25">
        <v>43160</v>
      </c>
      <c r="GO3" s="25">
        <v>43191</v>
      </c>
      <c r="GP3" s="25">
        <v>43221</v>
      </c>
      <c r="GQ3" s="25">
        <v>43252</v>
      </c>
      <c r="GR3" s="25">
        <v>43282</v>
      </c>
      <c r="GS3" s="25">
        <v>43313</v>
      </c>
      <c r="GT3" s="25">
        <v>43344</v>
      </c>
      <c r="GU3" s="25">
        <v>43374</v>
      </c>
      <c r="GV3" s="25">
        <v>43405</v>
      </c>
      <c r="GW3" s="25">
        <v>43435</v>
      </c>
      <c r="GX3" s="25">
        <v>43466</v>
      </c>
      <c r="GY3" s="25">
        <v>43497</v>
      </c>
      <c r="GZ3" s="25">
        <v>43525</v>
      </c>
      <c r="HA3" s="25">
        <v>43556</v>
      </c>
      <c r="HB3" s="25">
        <v>43586</v>
      </c>
      <c r="HC3" s="25">
        <v>43617</v>
      </c>
      <c r="HD3" s="25">
        <v>43647</v>
      </c>
      <c r="HE3" s="25">
        <v>43678</v>
      </c>
      <c r="HF3" s="25">
        <v>43709</v>
      </c>
      <c r="HG3" s="25">
        <v>43739</v>
      </c>
      <c r="HH3" s="25">
        <v>43770</v>
      </c>
      <c r="HI3" s="25">
        <v>43800</v>
      </c>
      <c r="HJ3" s="25">
        <v>43831</v>
      </c>
      <c r="HK3" s="25">
        <v>43862</v>
      </c>
      <c r="HL3" s="25">
        <v>43891</v>
      </c>
      <c r="HM3" s="25">
        <v>43922</v>
      </c>
      <c r="HN3" s="25">
        <v>43952</v>
      </c>
      <c r="HO3" s="25">
        <v>43983</v>
      </c>
      <c r="HP3" s="25">
        <v>44013</v>
      </c>
      <c r="HQ3" s="25">
        <v>44044</v>
      </c>
      <c r="HR3" s="25">
        <v>44075</v>
      </c>
      <c r="HS3" s="25">
        <v>44105</v>
      </c>
      <c r="HT3" s="25">
        <v>44136</v>
      </c>
      <c r="HU3" s="25">
        <v>44166</v>
      </c>
      <c r="HV3" s="25">
        <v>44197</v>
      </c>
      <c r="HW3" s="25">
        <v>44228</v>
      </c>
      <c r="HX3" s="25">
        <v>44256</v>
      </c>
      <c r="HY3" s="25">
        <v>44287</v>
      </c>
      <c r="HZ3" s="25">
        <v>44317</v>
      </c>
      <c r="IA3" s="25">
        <v>44348</v>
      </c>
      <c r="IB3" s="25">
        <v>44378</v>
      </c>
      <c r="IC3" s="25">
        <v>44409</v>
      </c>
      <c r="ID3" s="25">
        <v>44440</v>
      </c>
      <c r="IE3" s="25">
        <v>44470</v>
      </c>
      <c r="IF3" s="25">
        <v>44501</v>
      </c>
      <c r="IG3" s="25">
        <v>44531</v>
      </c>
      <c r="IH3" s="25">
        <v>44562</v>
      </c>
      <c r="II3" s="25">
        <v>44593</v>
      </c>
      <c r="IJ3" s="25">
        <v>44621</v>
      </c>
      <c r="IK3" s="25">
        <v>44652</v>
      </c>
      <c r="IL3" s="25">
        <v>44682</v>
      </c>
      <c r="IM3" s="25">
        <v>44713</v>
      </c>
      <c r="IN3" s="25">
        <v>44743</v>
      </c>
      <c r="IO3" s="25">
        <v>44774</v>
      </c>
      <c r="IP3" s="25">
        <v>44805</v>
      </c>
      <c r="IQ3" s="25">
        <v>44835</v>
      </c>
      <c r="IR3" s="25">
        <v>44866</v>
      </c>
      <c r="IS3" s="31">
        <v>44896</v>
      </c>
      <c r="IT3" s="25">
        <v>44927</v>
      </c>
      <c r="IU3" s="25">
        <v>44958</v>
      </c>
      <c r="IV3" s="25">
        <v>44986</v>
      </c>
      <c r="IW3" s="25">
        <v>45017</v>
      </c>
      <c r="IX3" s="25">
        <v>45047</v>
      </c>
      <c r="IY3" s="25">
        <v>45078</v>
      </c>
      <c r="IZ3" s="25">
        <v>45108</v>
      </c>
      <c r="JA3" s="25">
        <v>45139</v>
      </c>
      <c r="JB3" s="25">
        <v>45170</v>
      </c>
      <c r="JC3" s="25">
        <v>45200</v>
      </c>
      <c r="JD3" s="25">
        <v>45231</v>
      </c>
      <c r="JE3" s="25">
        <v>45261</v>
      </c>
      <c r="JF3" s="25">
        <v>45292</v>
      </c>
      <c r="JG3" s="25">
        <v>45323</v>
      </c>
      <c r="JH3" s="25">
        <v>45352</v>
      </c>
      <c r="JI3" s="25">
        <v>45383</v>
      </c>
      <c r="JJ3" s="25">
        <v>45413</v>
      </c>
      <c r="JK3" s="25">
        <v>45444</v>
      </c>
      <c r="JL3" s="25">
        <v>45474</v>
      </c>
      <c r="JM3" s="25">
        <v>45505</v>
      </c>
      <c r="JN3" s="25">
        <v>45536</v>
      </c>
      <c r="JO3" s="25">
        <v>45566</v>
      </c>
      <c r="JP3" s="25">
        <v>45597</v>
      </c>
      <c r="JQ3" s="25">
        <v>45627</v>
      </c>
      <c r="JR3" s="25">
        <v>45658</v>
      </c>
      <c r="JS3" s="25">
        <v>45689</v>
      </c>
      <c r="JT3" s="25">
        <v>45717</v>
      </c>
      <c r="JU3" s="25">
        <v>45748</v>
      </c>
      <c r="JV3" s="25">
        <v>45778</v>
      </c>
      <c r="JW3" s="25">
        <v>45809</v>
      </c>
      <c r="JX3" s="25">
        <v>45839</v>
      </c>
      <c r="JY3" s="25">
        <v>45870</v>
      </c>
      <c r="JZ3" s="25">
        <v>45901</v>
      </c>
    </row>
    <row r="4" spans="1:286" x14ac:dyDescent="0.25">
      <c r="A4" s="38" t="s">
        <v>18</v>
      </c>
      <c r="B4" s="30">
        <v>18088.241682539687</v>
      </c>
      <c r="C4" s="30">
        <v>18673.114126984146</v>
      </c>
      <c r="D4" s="30">
        <v>19775.59</v>
      </c>
      <c r="E4" s="30">
        <v>19758.835869565224</v>
      </c>
      <c r="F4" s="30">
        <v>19941.143333333337</v>
      </c>
      <c r="G4" s="30">
        <v>20013.743666666654</v>
      </c>
      <c r="H4" s="30">
        <v>19648.420144927517</v>
      </c>
      <c r="I4" s="30">
        <v>19639.237826086963</v>
      </c>
      <c r="J4" s="30">
        <v>20019.745971014479</v>
      </c>
      <c r="K4" s="30">
        <v>20856.882720000005</v>
      </c>
      <c r="L4" s="30">
        <v>20975.143416666655</v>
      </c>
      <c r="M4" s="30">
        <v>21084.377972222213</v>
      </c>
      <c r="N4" s="30">
        <v>21261.333403508765</v>
      </c>
      <c r="O4" s="30">
        <v>21791.644469696981</v>
      </c>
      <c r="P4" s="30">
        <v>22277.88577777777</v>
      </c>
      <c r="Q4" s="30">
        <v>22289.369000000002</v>
      </c>
      <c r="R4" s="30">
        <v>22305.410766666668</v>
      </c>
      <c r="S4" s="30">
        <v>22334.942500000001</v>
      </c>
      <c r="T4" s="30">
        <v>22138.660521739144</v>
      </c>
      <c r="U4" s="30">
        <v>22123.340927536206</v>
      </c>
      <c r="V4" s="30">
        <v>22052.192492753635</v>
      </c>
      <c r="W4" s="30">
        <v>21671.119594202893</v>
      </c>
      <c r="X4" s="30">
        <v>21716.479060606067</v>
      </c>
      <c r="Y4" s="30">
        <v>21762.51</v>
      </c>
      <c r="Z4" s="30">
        <v>21903.948842105248</v>
      </c>
      <c r="AA4" s="30">
        <v>21765.245253968271</v>
      </c>
      <c r="AB4" s="30">
        <v>22365.582376811577</v>
      </c>
      <c r="AC4" s="30">
        <v>22738.61704545455</v>
      </c>
      <c r="AD4" s="30">
        <v>23156.412100000001</v>
      </c>
      <c r="AE4" s="30">
        <v>23115.614772727262</v>
      </c>
      <c r="AF4" s="30">
        <v>22883.333333333332</v>
      </c>
      <c r="AG4" s="30">
        <v>23433.333333333332</v>
      </c>
      <c r="AH4" s="30">
        <v>23433.333333333332</v>
      </c>
      <c r="AI4" s="30">
        <v>23933.333333333332</v>
      </c>
      <c r="AJ4" s="30">
        <v>23800</v>
      </c>
      <c r="AK4" s="30">
        <v>23566.666666666668</v>
      </c>
      <c r="AL4" s="30">
        <v>24300</v>
      </c>
      <c r="AM4" s="30">
        <v>23500</v>
      </c>
      <c r="AN4" s="30">
        <v>24066.666666666668</v>
      </c>
      <c r="AO4" s="30">
        <v>25866.666666666668</v>
      </c>
      <c r="AP4" s="30">
        <v>27933.333333333332</v>
      </c>
      <c r="AQ4" s="30">
        <v>28933.333333333332</v>
      </c>
      <c r="AR4" s="30">
        <v>28966.666666666668</v>
      </c>
      <c r="AS4" s="30">
        <v>30900</v>
      </c>
      <c r="AT4" s="30">
        <v>30833.333333333332</v>
      </c>
      <c r="AU4" s="30">
        <v>31133.333333333332</v>
      </c>
      <c r="AV4" s="30">
        <v>32033.333333333332</v>
      </c>
      <c r="AW4" s="30">
        <v>31866.666666666668</v>
      </c>
      <c r="AX4" s="30">
        <v>32433.333333333332</v>
      </c>
      <c r="AY4" s="30">
        <v>33566.666666666664</v>
      </c>
      <c r="AZ4" s="30">
        <v>35566.666666666664</v>
      </c>
      <c r="BA4" s="30">
        <v>36066.666666666664</v>
      </c>
      <c r="BB4" s="30">
        <v>36433.333333333336</v>
      </c>
      <c r="BC4" s="30">
        <v>36433.333333333336</v>
      </c>
      <c r="BD4" s="30">
        <v>36966.666666666664</v>
      </c>
      <c r="BE4" s="30">
        <v>40566.666666666664</v>
      </c>
      <c r="BF4" s="30">
        <v>41900</v>
      </c>
      <c r="BG4" s="30">
        <v>43566.666666666664</v>
      </c>
      <c r="BH4" s="30">
        <v>45300</v>
      </c>
      <c r="BI4" s="30">
        <v>47333.333333333336</v>
      </c>
      <c r="BJ4" s="30">
        <v>49333.333333333336</v>
      </c>
      <c r="BK4" s="30">
        <v>50566.666666666664</v>
      </c>
      <c r="BL4" s="30">
        <v>51733.333333333336</v>
      </c>
      <c r="BM4" s="30">
        <v>53700</v>
      </c>
      <c r="BN4" s="30">
        <v>55700</v>
      </c>
      <c r="BO4" s="30">
        <v>57200</v>
      </c>
      <c r="BP4" s="30">
        <v>58100</v>
      </c>
      <c r="BQ4" s="30">
        <v>59366.666666666664</v>
      </c>
      <c r="BR4" s="30">
        <v>59500</v>
      </c>
      <c r="BS4" s="30">
        <v>60500</v>
      </c>
      <c r="BT4" s="30">
        <v>60766.666666666664</v>
      </c>
      <c r="BU4" s="30">
        <v>61200</v>
      </c>
      <c r="BV4" s="30">
        <v>61333.333333333336</v>
      </c>
      <c r="BW4" s="30">
        <v>62733.333333333336</v>
      </c>
      <c r="BX4" s="30">
        <v>63166.666666666664</v>
      </c>
      <c r="BY4" s="30">
        <v>65500</v>
      </c>
      <c r="BZ4" s="30">
        <v>67800</v>
      </c>
      <c r="CA4" s="30">
        <v>70100</v>
      </c>
      <c r="CB4" s="30">
        <v>72566.666666666672</v>
      </c>
      <c r="CC4" s="30">
        <v>73266.666666666672</v>
      </c>
      <c r="CD4" s="30">
        <v>73866.666666666672</v>
      </c>
      <c r="CE4" s="30">
        <v>74600</v>
      </c>
      <c r="CF4" s="30">
        <v>75200</v>
      </c>
      <c r="CG4" s="30">
        <v>76766.666666666672</v>
      </c>
      <c r="CH4" s="30">
        <v>76066.666666666672</v>
      </c>
      <c r="CI4" s="30">
        <v>72933.333333333328</v>
      </c>
      <c r="CJ4" s="30">
        <v>78133.333333333328</v>
      </c>
      <c r="CK4" s="30">
        <v>74133.333333333328</v>
      </c>
      <c r="CL4" s="30">
        <v>71533.333333333328</v>
      </c>
      <c r="CM4" s="30">
        <v>73066.666666666672</v>
      </c>
      <c r="CN4" s="30">
        <v>74066.666666666672</v>
      </c>
      <c r="CO4" s="30">
        <v>76200</v>
      </c>
      <c r="CP4" s="30">
        <v>77033.333333333328</v>
      </c>
      <c r="CQ4" s="30">
        <v>76600</v>
      </c>
      <c r="CR4" s="30">
        <v>76866.666666666672</v>
      </c>
      <c r="CS4" s="30">
        <v>78400</v>
      </c>
      <c r="CT4" s="30">
        <v>79366.666666666672</v>
      </c>
      <c r="CU4" s="30">
        <v>79633.333333333328</v>
      </c>
      <c r="CV4" s="30">
        <v>80100</v>
      </c>
      <c r="CW4" s="30">
        <v>80300</v>
      </c>
      <c r="CX4" s="30">
        <v>80500</v>
      </c>
      <c r="CY4" s="30">
        <v>80800</v>
      </c>
      <c r="CZ4" s="30">
        <v>81066.666666666672</v>
      </c>
      <c r="DA4" s="30">
        <v>81066.666666666672</v>
      </c>
      <c r="DB4" s="30">
        <v>82300</v>
      </c>
      <c r="DC4" s="30">
        <v>81700</v>
      </c>
      <c r="DD4" s="30">
        <v>81100</v>
      </c>
      <c r="DE4" s="30">
        <v>80133.333333333328</v>
      </c>
      <c r="DF4" s="30">
        <v>79500</v>
      </c>
      <c r="DG4" s="30">
        <v>79200</v>
      </c>
      <c r="DH4" s="30">
        <v>81100</v>
      </c>
      <c r="DI4" s="30">
        <v>79371.666666666672</v>
      </c>
      <c r="DJ4" s="30">
        <v>80100</v>
      </c>
      <c r="DK4" s="30">
        <v>81066.666666666672</v>
      </c>
      <c r="DL4" s="30">
        <v>80633.333333333328</v>
      </c>
      <c r="DM4" s="30">
        <v>80733.333333333328</v>
      </c>
      <c r="DN4" s="30">
        <v>82400</v>
      </c>
      <c r="DO4" s="30">
        <v>81466.666666666672</v>
      </c>
      <c r="DP4" s="30">
        <v>80640</v>
      </c>
      <c r="DQ4" s="30">
        <v>73765.333333333328</v>
      </c>
      <c r="DR4" s="30">
        <v>73534.333333333328</v>
      </c>
      <c r="DS4" s="30">
        <v>72266.666666666672</v>
      </c>
      <c r="DT4" s="30">
        <v>72933.333333333328</v>
      </c>
      <c r="DU4" s="30">
        <v>72983.333333333328</v>
      </c>
      <c r="DV4" s="30">
        <v>73933.333333333328</v>
      </c>
      <c r="DW4" s="30">
        <v>74066.666666666672</v>
      </c>
      <c r="DX4" s="30">
        <v>74066.666666666672</v>
      </c>
      <c r="DY4" s="30">
        <v>74566.666666666672</v>
      </c>
      <c r="DZ4" s="30">
        <v>74933.333333333328</v>
      </c>
      <c r="EA4" s="30">
        <v>75283.333333333328</v>
      </c>
      <c r="EB4" s="30">
        <v>75600</v>
      </c>
      <c r="EC4" s="30">
        <v>76166.666666666672</v>
      </c>
      <c r="ED4" s="30">
        <v>76766.666666666672</v>
      </c>
      <c r="EE4" s="30">
        <v>76900</v>
      </c>
      <c r="EF4" s="30">
        <v>77433.333333333328</v>
      </c>
      <c r="EG4" s="30">
        <v>78450</v>
      </c>
      <c r="EH4" s="30">
        <v>78450</v>
      </c>
      <c r="EI4" s="30">
        <v>78616.666666666672</v>
      </c>
      <c r="EJ4" s="30">
        <v>78616.666666666672</v>
      </c>
      <c r="EK4" s="30">
        <v>78650</v>
      </c>
      <c r="EL4" s="30">
        <v>78700</v>
      </c>
      <c r="EM4" s="30">
        <v>78916.666666666672</v>
      </c>
      <c r="EN4" s="30">
        <v>79033.333333333328</v>
      </c>
      <c r="EO4" s="30">
        <v>79100</v>
      </c>
      <c r="EP4" s="30">
        <v>79150</v>
      </c>
      <c r="EQ4" s="30">
        <v>79200</v>
      </c>
      <c r="ER4" s="30">
        <v>79516.666666666672</v>
      </c>
      <c r="ES4" s="30">
        <v>79700</v>
      </c>
      <c r="ET4" s="30">
        <v>96433.333333333328</v>
      </c>
      <c r="EU4" s="30">
        <v>96433.333333333328</v>
      </c>
      <c r="EV4" s="30">
        <v>96450</v>
      </c>
      <c r="EW4" s="30">
        <v>79783.333333333328</v>
      </c>
      <c r="EX4" s="30">
        <v>79783.333333333328</v>
      </c>
      <c r="EY4" s="30">
        <v>79816.666666666672</v>
      </c>
      <c r="EZ4" s="30">
        <v>79833.333333333328</v>
      </c>
      <c r="FA4" s="30">
        <v>79833.333333333328</v>
      </c>
      <c r="FB4" s="30">
        <v>79783.333333333328</v>
      </c>
      <c r="FC4" s="30">
        <v>79783.333333333328</v>
      </c>
      <c r="FD4" s="30">
        <v>79850</v>
      </c>
      <c r="FE4" s="30">
        <v>79850</v>
      </c>
      <c r="FF4" s="30">
        <v>79916.666666666672</v>
      </c>
      <c r="FG4" s="30">
        <v>79950</v>
      </c>
      <c r="FH4" s="30">
        <v>80000</v>
      </c>
      <c r="FI4" s="30">
        <v>80050</v>
      </c>
      <c r="FJ4" s="30">
        <v>80066.666666666672</v>
      </c>
      <c r="FK4" s="30">
        <v>80100</v>
      </c>
      <c r="FL4" s="30">
        <v>80116.666666666672</v>
      </c>
      <c r="FM4" s="30">
        <v>80166.666666666672</v>
      </c>
      <c r="FN4" s="30">
        <v>80200</v>
      </c>
      <c r="FO4" s="30">
        <v>80300</v>
      </c>
      <c r="FP4" s="30">
        <v>80366.666666666672</v>
      </c>
      <c r="FQ4" s="30">
        <v>80366.666666666672</v>
      </c>
      <c r="FR4" s="30">
        <v>80400</v>
      </c>
      <c r="FS4" s="30">
        <v>80466.666666666672</v>
      </c>
      <c r="FT4" s="30">
        <v>80466.666666666672</v>
      </c>
      <c r="FU4" s="30">
        <v>80466.666666666672</v>
      </c>
      <c r="FV4" s="30">
        <v>80500</v>
      </c>
      <c r="FW4" s="30">
        <v>80633.333333333328</v>
      </c>
      <c r="FX4" s="30">
        <v>80666.666666666672</v>
      </c>
      <c r="FY4" s="30">
        <v>80666.666666666672</v>
      </c>
      <c r="FZ4" s="30">
        <v>80666.666666666672</v>
      </c>
      <c r="GA4" s="30">
        <v>80500</v>
      </c>
      <c r="GB4" s="30">
        <v>78100</v>
      </c>
      <c r="GC4" s="30">
        <v>77333.333333333328</v>
      </c>
      <c r="GD4" s="30">
        <v>75333.333333333328</v>
      </c>
      <c r="GE4" s="30">
        <v>75333.333333333328</v>
      </c>
      <c r="GF4" s="30">
        <v>75333.333333333328</v>
      </c>
      <c r="GG4" s="30">
        <v>75333.333333333328</v>
      </c>
      <c r="GH4" s="30">
        <v>75333.333333333328</v>
      </c>
      <c r="GI4" s="30">
        <v>75000</v>
      </c>
      <c r="GJ4" s="30">
        <v>75666.666666666672</v>
      </c>
      <c r="GK4" s="30">
        <v>77333.333333333328</v>
      </c>
      <c r="GL4" s="30">
        <v>77866.666666666672</v>
      </c>
      <c r="GM4" s="30">
        <v>78133.333333333328</v>
      </c>
      <c r="GN4" s="30">
        <v>88533.333333333328</v>
      </c>
      <c r="GO4" s="30">
        <v>85700</v>
      </c>
      <c r="GP4" s="30">
        <v>89866.666666666672</v>
      </c>
      <c r="GQ4" s="30">
        <v>89766.666666666672</v>
      </c>
      <c r="GR4" s="30">
        <v>93000</v>
      </c>
      <c r="GS4" s="30">
        <v>93133.333333333328</v>
      </c>
      <c r="GT4" s="30">
        <v>90833.333333333328</v>
      </c>
      <c r="GU4" s="30">
        <v>89783.333333333328</v>
      </c>
      <c r="GV4" s="30">
        <v>88933.333333333328</v>
      </c>
      <c r="GW4" s="30">
        <v>88000</v>
      </c>
      <c r="GX4" s="30">
        <v>87500</v>
      </c>
      <c r="GY4" s="30">
        <v>88400</v>
      </c>
      <c r="GZ4" s="30">
        <v>90000</v>
      </c>
      <c r="HA4" s="30">
        <v>90933.333333333328</v>
      </c>
      <c r="HB4" s="30">
        <v>91733.333333333328</v>
      </c>
      <c r="HC4" s="30">
        <v>92266.666666666672</v>
      </c>
      <c r="HD4" s="30">
        <v>92566.666666666672</v>
      </c>
      <c r="HE4" s="30">
        <v>93233.333333333328</v>
      </c>
      <c r="HF4" s="30">
        <v>94366.666666666672</v>
      </c>
      <c r="HG4" s="30">
        <v>94200</v>
      </c>
      <c r="HH4" s="30">
        <v>94766.666666666672</v>
      </c>
      <c r="HI4" s="30">
        <v>88000</v>
      </c>
      <c r="HJ4" s="30">
        <v>96833.333333333328</v>
      </c>
      <c r="HK4" s="30">
        <v>97233.333333333328</v>
      </c>
      <c r="HL4" s="30">
        <v>98166.666666666672</v>
      </c>
      <c r="HM4" s="30">
        <v>98166.666666666672</v>
      </c>
      <c r="HN4" s="30">
        <v>96700</v>
      </c>
      <c r="HO4" s="30">
        <v>96000</v>
      </c>
      <c r="HP4" s="30">
        <v>95666.666666666672</v>
      </c>
      <c r="HQ4" s="30">
        <v>95833.333333333328</v>
      </c>
      <c r="HR4" s="30">
        <v>96800</v>
      </c>
      <c r="HS4" s="30">
        <v>95700</v>
      </c>
      <c r="HT4" s="30">
        <v>94733.333333333328</v>
      </c>
      <c r="HU4" s="30">
        <v>94733.333333333328</v>
      </c>
      <c r="HV4" s="30">
        <v>94833.333333333328</v>
      </c>
      <c r="HW4" s="30">
        <v>94333.333333333328</v>
      </c>
      <c r="HX4" s="30">
        <v>94716.666666666672</v>
      </c>
      <c r="HY4" s="30">
        <v>95833.333333333328</v>
      </c>
      <c r="HZ4" s="30">
        <v>96933.333333333328</v>
      </c>
      <c r="IA4" s="30">
        <v>98466.666666666672</v>
      </c>
      <c r="IB4" s="30">
        <v>98866.666666666672</v>
      </c>
      <c r="IC4" s="30">
        <v>99700</v>
      </c>
      <c r="ID4" s="30">
        <v>101050</v>
      </c>
      <c r="IE4" s="30">
        <v>103200</v>
      </c>
      <c r="IF4" s="30">
        <v>105000</v>
      </c>
      <c r="IG4" s="30">
        <v>106833.33333333333</v>
      </c>
      <c r="IH4" s="30">
        <v>108100</v>
      </c>
      <c r="II4" s="30">
        <v>108766.66666666667</v>
      </c>
      <c r="IJ4" s="30">
        <v>109666.66666666667</v>
      </c>
      <c r="IK4" s="30">
        <v>111500</v>
      </c>
      <c r="IL4" s="30">
        <v>112733.33333333333</v>
      </c>
      <c r="IM4" s="30">
        <v>112833.33333333333</v>
      </c>
      <c r="IN4" s="30">
        <v>113400</v>
      </c>
      <c r="IO4" s="30">
        <v>114166.66666666667</v>
      </c>
      <c r="IP4" s="30">
        <v>114866.66666666667</v>
      </c>
      <c r="IQ4" s="30">
        <v>114700</v>
      </c>
      <c r="IR4" s="30">
        <v>116200</v>
      </c>
      <c r="IS4" s="33">
        <v>116766.66666666667</v>
      </c>
      <c r="IT4" s="19">
        <v>117850</v>
      </c>
      <c r="IU4" s="19">
        <v>118166.66666666667</v>
      </c>
      <c r="IV4">
        <v>118233.33333333333</v>
      </c>
      <c r="IW4">
        <v>119583.33333333333</v>
      </c>
      <c r="IX4">
        <v>121383.33333333333</v>
      </c>
      <c r="IY4">
        <v>122233.33333333333</v>
      </c>
      <c r="IZ4">
        <v>123566.66666666667</v>
      </c>
      <c r="JA4">
        <v>124866.66666666667</v>
      </c>
      <c r="JB4">
        <v>127266.66666666667</v>
      </c>
      <c r="JC4">
        <v>130450</v>
      </c>
      <c r="JD4">
        <v>132666.66666666666</v>
      </c>
      <c r="JE4">
        <v>133766.66666666666</v>
      </c>
      <c r="JF4">
        <v>136300</v>
      </c>
      <c r="JG4">
        <v>137900</v>
      </c>
      <c r="JH4">
        <v>138066.66666666666</v>
      </c>
      <c r="JI4">
        <v>139066.66666666666</v>
      </c>
      <c r="JJ4">
        <v>139800</v>
      </c>
      <c r="JK4">
        <v>140833.33333333334</v>
      </c>
      <c r="JL4">
        <v>141800</v>
      </c>
      <c r="JM4">
        <v>141066.66666666666</v>
      </c>
      <c r="JN4">
        <v>143000</v>
      </c>
      <c r="JO4">
        <v>148750</v>
      </c>
      <c r="JP4">
        <v>149666.66666666666</v>
      </c>
      <c r="JQ4">
        <v>150866.66666666666</v>
      </c>
      <c r="JR4">
        <v>152100</v>
      </c>
      <c r="JS4">
        <v>158333.33333333334</v>
      </c>
      <c r="JT4">
        <v>158533.33333333334</v>
      </c>
      <c r="JU4">
        <v>160333.33333333334</v>
      </c>
      <c r="JV4">
        <v>161233.33333333334</v>
      </c>
      <c r="JW4">
        <v>164933.33333333334</v>
      </c>
      <c r="JX4">
        <v>166800</v>
      </c>
      <c r="JY4">
        <v>167933.33333333334</v>
      </c>
      <c r="JZ4">
        <v>171100</v>
      </c>
    </row>
    <row r="5" spans="1:286" x14ac:dyDescent="0.25">
      <c r="A5" s="38" t="s">
        <v>19</v>
      </c>
      <c r="B5" s="30">
        <v>20927.456333333339</v>
      </c>
      <c r="C5" s="30">
        <v>21254.563809523832</v>
      </c>
      <c r="D5" s="30">
        <v>22369.11</v>
      </c>
      <c r="E5" s="30">
        <v>22380.49604347827</v>
      </c>
      <c r="F5" s="30">
        <v>22666.110250000002</v>
      </c>
      <c r="G5" s="30">
        <v>22733.21270454544</v>
      </c>
      <c r="H5" s="30">
        <v>22302.465380434762</v>
      </c>
      <c r="I5" s="30">
        <v>22380.354195652184</v>
      </c>
      <c r="J5" s="30">
        <v>22846.782467391287</v>
      </c>
      <c r="K5" s="30">
        <v>23827.437810000003</v>
      </c>
      <c r="L5" s="30">
        <v>24027.932395833319</v>
      </c>
      <c r="M5" s="30">
        <v>24070.681968749988</v>
      </c>
      <c r="N5" s="30">
        <v>23919.000078947363</v>
      </c>
      <c r="O5" s="30">
        <v>24537.587113636378</v>
      </c>
      <c r="P5" s="30">
        <v>24929.780749999991</v>
      </c>
      <c r="Q5" s="30">
        <v>25024.080500000004</v>
      </c>
      <c r="R5" s="30">
        <v>25108.236025000002</v>
      </c>
      <c r="S5" s="30">
        <v>25119.495375000002</v>
      </c>
      <c r="T5" s="30">
        <v>24905.993086956532</v>
      </c>
      <c r="U5" s="30">
        <v>24859.851739130409</v>
      </c>
      <c r="V5" s="30">
        <v>24744.054391304362</v>
      </c>
      <c r="W5" s="30">
        <v>24288.381869565215</v>
      </c>
      <c r="X5" s="30">
        <v>24346.355965909097</v>
      </c>
      <c r="Y5" s="30">
        <v>24376.837499999998</v>
      </c>
      <c r="Z5" s="30">
        <v>24528.254131578931</v>
      </c>
      <c r="AA5" s="30">
        <v>24351.866880952402</v>
      </c>
      <c r="AB5" s="30">
        <v>25076.846347826067</v>
      </c>
      <c r="AC5" s="30">
        <v>25434.767352272735</v>
      </c>
      <c r="AD5" s="30">
        <v>26403.283725000001</v>
      </c>
      <c r="AE5" s="30">
        <v>26623.749249999986</v>
      </c>
      <c r="AF5" s="30">
        <v>26125</v>
      </c>
      <c r="AG5" s="30">
        <v>25900</v>
      </c>
      <c r="AH5" s="30">
        <v>26050</v>
      </c>
      <c r="AI5" s="30">
        <v>26250</v>
      </c>
      <c r="AJ5" s="30">
        <v>26275</v>
      </c>
      <c r="AK5" s="30">
        <v>25700</v>
      </c>
      <c r="AL5" s="30">
        <v>26625</v>
      </c>
      <c r="AM5" s="30">
        <v>25875</v>
      </c>
      <c r="AN5" s="30">
        <v>26000</v>
      </c>
      <c r="AO5" s="30">
        <v>28075</v>
      </c>
      <c r="AP5" s="30">
        <v>30050</v>
      </c>
      <c r="AQ5" s="30">
        <v>30625</v>
      </c>
      <c r="AR5" s="30">
        <v>34525</v>
      </c>
      <c r="AS5" s="30">
        <v>38850</v>
      </c>
      <c r="AT5" s="30">
        <v>38950</v>
      </c>
      <c r="AU5" s="30">
        <v>39525</v>
      </c>
      <c r="AV5" s="30">
        <v>41175</v>
      </c>
      <c r="AW5" s="30">
        <v>40925</v>
      </c>
      <c r="AX5" s="30">
        <v>41800</v>
      </c>
      <c r="AY5" s="30">
        <v>42450</v>
      </c>
      <c r="AZ5" s="30">
        <v>43225</v>
      </c>
      <c r="BA5" s="30">
        <v>43800</v>
      </c>
      <c r="BB5" s="30">
        <v>43975</v>
      </c>
      <c r="BC5" s="30">
        <v>43975</v>
      </c>
      <c r="BD5" s="30">
        <v>44650</v>
      </c>
      <c r="BE5" s="30">
        <v>51325</v>
      </c>
      <c r="BF5" s="30">
        <v>54225</v>
      </c>
      <c r="BG5" s="30">
        <v>56750</v>
      </c>
      <c r="BH5" s="30">
        <v>59175</v>
      </c>
      <c r="BI5" s="30">
        <v>61500</v>
      </c>
      <c r="BJ5" s="30">
        <v>62576.5</v>
      </c>
      <c r="BK5" s="30">
        <v>64325</v>
      </c>
      <c r="BL5" s="30">
        <v>66750</v>
      </c>
      <c r="BM5" s="30">
        <v>68575</v>
      </c>
      <c r="BN5" s="30">
        <v>70725</v>
      </c>
      <c r="BO5" s="30">
        <v>73250</v>
      </c>
      <c r="BP5" s="30">
        <v>75200</v>
      </c>
      <c r="BQ5" s="30">
        <v>77625</v>
      </c>
      <c r="BR5" s="30">
        <v>78750</v>
      </c>
      <c r="BS5" s="30">
        <v>80850</v>
      </c>
      <c r="BT5" s="30">
        <v>82875</v>
      </c>
      <c r="BU5" s="30">
        <v>84750</v>
      </c>
      <c r="BV5" s="30">
        <v>85200</v>
      </c>
      <c r="BW5" s="30">
        <v>86375</v>
      </c>
      <c r="BX5" s="30">
        <v>87900</v>
      </c>
      <c r="BY5" s="30">
        <v>89325</v>
      </c>
      <c r="BZ5" s="30">
        <v>90925</v>
      </c>
      <c r="CA5" s="30">
        <v>92450</v>
      </c>
      <c r="CB5" s="30">
        <v>94575</v>
      </c>
      <c r="CC5" s="30">
        <v>96800</v>
      </c>
      <c r="CD5" s="30">
        <v>97625</v>
      </c>
      <c r="CE5" s="30">
        <v>99650</v>
      </c>
      <c r="CF5" s="30">
        <v>101350</v>
      </c>
      <c r="CG5" s="30">
        <v>103150</v>
      </c>
      <c r="CH5" s="30">
        <v>102650</v>
      </c>
      <c r="CI5" s="30">
        <v>101375</v>
      </c>
      <c r="CJ5" s="30">
        <v>101475</v>
      </c>
      <c r="CK5" s="30">
        <v>98600</v>
      </c>
      <c r="CL5" s="30">
        <v>96550</v>
      </c>
      <c r="CM5" s="30">
        <v>95800</v>
      </c>
      <c r="CN5" s="30">
        <v>93375</v>
      </c>
      <c r="CO5" s="30">
        <v>93025</v>
      </c>
      <c r="CP5" s="30">
        <v>93950</v>
      </c>
      <c r="CQ5" s="30">
        <v>95425</v>
      </c>
      <c r="CR5" s="30">
        <v>96600</v>
      </c>
      <c r="CS5" s="30">
        <v>98550</v>
      </c>
      <c r="CT5" s="30">
        <v>99750</v>
      </c>
      <c r="CU5" s="30">
        <v>99500</v>
      </c>
      <c r="CV5" s="30">
        <v>100300</v>
      </c>
      <c r="CW5" s="30">
        <v>101100</v>
      </c>
      <c r="CX5" s="30">
        <v>102450</v>
      </c>
      <c r="CY5" s="30">
        <v>103750</v>
      </c>
      <c r="CZ5" s="30">
        <v>102700</v>
      </c>
      <c r="DA5" s="30">
        <v>103550</v>
      </c>
      <c r="DB5" s="30">
        <v>103425</v>
      </c>
      <c r="DC5" s="30">
        <v>103475</v>
      </c>
      <c r="DD5" s="30">
        <v>103750</v>
      </c>
      <c r="DE5" s="30">
        <v>102775</v>
      </c>
      <c r="DF5" s="30">
        <v>101700</v>
      </c>
      <c r="DG5" s="30">
        <v>100875</v>
      </c>
      <c r="DH5" s="30">
        <v>99825</v>
      </c>
      <c r="DI5" s="30">
        <v>98275</v>
      </c>
      <c r="DJ5" s="30">
        <v>98150</v>
      </c>
      <c r="DK5" s="30">
        <v>97000</v>
      </c>
      <c r="DL5" s="30">
        <v>97700</v>
      </c>
      <c r="DM5" s="30">
        <v>97300</v>
      </c>
      <c r="DN5" s="30">
        <v>94675</v>
      </c>
      <c r="DO5" s="30">
        <v>93100</v>
      </c>
      <c r="DP5" s="30">
        <v>94375</v>
      </c>
      <c r="DQ5" s="30">
        <v>92806</v>
      </c>
      <c r="DR5" s="30">
        <v>92790.5</v>
      </c>
      <c r="DS5" s="30">
        <v>90000</v>
      </c>
      <c r="DT5" s="30">
        <v>91325</v>
      </c>
      <c r="DU5" s="30">
        <v>91950</v>
      </c>
      <c r="DV5" s="30">
        <v>92062.5</v>
      </c>
      <c r="DW5" s="30">
        <v>92500</v>
      </c>
      <c r="DX5" s="30">
        <v>93187.5</v>
      </c>
      <c r="DY5" s="30">
        <v>93187.5</v>
      </c>
      <c r="DZ5" s="30">
        <v>93500</v>
      </c>
      <c r="EA5" s="30">
        <v>94475</v>
      </c>
      <c r="EB5" s="30">
        <v>94600</v>
      </c>
      <c r="EC5" s="30">
        <v>94800</v>
      </c>
      <c r="ED5" s="30">
        <v>94950</v>
      </c>
      <c r="EE5" s="30">
        <v>95275</v>
      </c>
      <c r="EF5" s="30">
        <v>95425</v>
      </c>
      <c r="EG5" s="30">
        <v>96050</v>
      </c>
      <c r="EH5" s="30">
        <v>96050</v>
      </c>
      <c r="EI5" s="30">
        <v>96050</v>
      </c>
      <c r="EJ5" s="30">
        <v>96050</v>
      </c>
      <c r="EK5" s="30">
        <v>96175</v>
      </c>
      <c r="EL5" s="30">
        <v>96175</v>
      </c>
      <c r="EM5" s="30">
        <v>96175</v>
      </c>
      <c r="EN5" s="30">
        <v>96325</v>
      </c>
      <c r="EO5" s="30">
        <v>96387.5</v>
      </c>
      <c r="EP5" s="30">
        <v>96400</v>
      </c>
      <c r="EQ5" s="30">
        <v>96400</v>
      </c>
      <c r="ER5" s="30">
        <v>96525</v>
      </c>
      <c r="ES5" s="30">
        <v>90300</v>
      </c>
      <c r="ET5" s="30">
        <v>97037.5</v>
      </c>
      <c r="EU5" s="30">
        <v>97037.5</v>
      </c>
      <c r="EV5" s="30">
        <v>97062.5</v>
      </c>
      <c r="EW5" s="30">
        <v>97137.5</v>
      </c>
      <c r="EX5" s="30">
        <v>97187.5</v>
      </c>
      <c r="EY5" s="30">
        <v>97187.5</v>
      </c>
      <c r="EZ5" s="30">
        <v>97200</v>
      </c>
      <c r="FA5" s="30">
        <v>97337.5</v>
      </c>
      <c r="FB5" s="30">
        <v>97275</v>
      </c>
      <c r="FC5" s="30">
        <v>97562.5</v>
      </c>
      <c r="FD5" s="30">
        <v>97662.5</v>
      </c>
      <c r="FE5" s="30">
        <v>97700</v>
      </c>
      <c r="FF5" s="30">
        <v>97850</v>
      </c>
      <c r="FG5" s="30">
        <v>97900</v>
      </c>
      <c r="FH5" s="30">
        <v>97987.5</v>
      </c>
      <c r="FI5" s="30">
        <v>97987.5</v>
      </c>
      <c r="FJ5" s="30">
        <v>98025</v>
      </c>
      <c r="FK5" s="30">
        <v>98100</v>
      </c>
      <c r="FL5" s="30">
        <v>98150</v>
      </c>
      <c r="FM5" s="30">
        <v>98162.5</v>
      </c>
      <c r="FN5" s="30">
        <v>98262.5</v>
      </c>
      <c r="FO5" s="30">
        <v>98325</v>
      </c>
      <c r="FP5" s="30">
        <v>98400</v>
      </c>
      <c r="FQ5" s="30">
        <v>98400</v>
      </c>
      <c r="FR5" s="30">
        <v>98437.5</v>
      </c>
      <c r="FS5" s="30">
        <v>98500</v>
      </c>
      <c r="FT5" s="30">
        <v>98500</v>
      </c>
      <c r="FU5" s="30">
        <v>98500</v>
      </c>
      <c r="FV5" s="30">
        <v>98512.5</v>
      </c>
      <c r="FW5" s="30">
        <v>98562.5</v>
      </c>
      <c r="FX5" s="30">
        <v>98625</v>
      </c>
      <c r="FY5" s="30">
        <v>98662.5</v>
      </c>
      <c r="FZ5" s="30">
        <v>98662.5</v>
      </c>
      <c r="GA5" s="30">
        <v>98575</v>
      </c>
      <c r="GB5" s="30">
        <v>97112.5</v>
      </c>
      <c r="GC5" s="30">
        <v>92962.5</v>
      </c>
      <c r="GD5" s="30">
        <v>89212.5</v>
      </c>
      <c r="GE5" s="30">
        <v>89712.5</v>
      </c>
      <c r="GF5" s="30">
        <v>89712.5</v>
      </c>
      <c r="GG5" s="30">
        <v>89675</v>
      </c>
      <c r="GH5" s="30">
        <v>90350</v>
      </c>
      <c r="GI5" s="30">
        <v>90350</v>
      </c>
      <c r="GJ5" s="30">
        <v>90487.5</v>
      </c>
      <c r="GK5" s="30">
        <v>90487.5</v>
      </c>
      <c r="GL5" s="30">
        <v>90112.5</v>
      </c>
      <c r="GM5" s="30">
        <v>90462.5</v>
      </c>
      <c r="GN5" s="30">
        <v>94975</v>
      </c>
      <c r="GO5" s="30">
        <v>93312.5</v>
      </c>
      <c r="GP5" s="30">
        <v>93625</v>
      </c>
      <c r="GQ5" s="30">
        <v>94500</v>
      </c>
      <c r="GR5" s="30">
        <v>95000</v>
      </c>
      <c r="GS5" s="30">
        <v>95575</v>
      </c>
      <c r="GT5" s="30">
        <v>97075</v>
      </c>
      <c r="GU5" s="30">
        <v>97937.5</v>
      </c>
      <c r="GV5" s="30">
        <v>98337.5</v>
      </c>
      <c r="GW5" s="30">
        <v>96575</v>
      </c>
      <c r="GX5" s="30">
        <v>96000</v>
      </c>
      <c r="GY5" s="30">
        <v>96550</v>
      </c>
      <c r="GZ5" s="30">
        <v>99625</v>
      </c>
      <c r="HA5" s="30">
        <v>100625</v>
      </c>
      <c r="HB5" s="30">
        <v>101837.5</v>
      </c>
      <c r="HC5" s="30">
        <v>102275</v>
      </c>
      <c r="HD5" s="30">
        <v>102687.5</v>
      </c>
      <c r="HE5" s="30">
        <v>103262.5</v>
      </c>
      <c r="HF5" s="30">
        <v>104550</v>
      </c>
      <c r="HG5" s="30">
        <v>106375</v>
      </c>
      <c r="HH5" s="30">
        <v>107825</v>
      </c>
      <c r="HI5" s="30">
        <v>96575</v>
      </c>
      <c r="HJ5" s="30">
        <v>111537.5</v>
      </c>
      <c r="HK5" s="30">
        <v>113750</v>
      </c>
      <c r="HL5" s="30">
        <v>115350</v>
      </c>
      <c r="HM5" s="30">
        <v>115350</v>
      </c>
      <c r="HN5" s="30">
        <v>115075</v>
      </c>
      <c r="HO5" s="30">
        <v>116175</v>
      </c>
      <c r="HP5" s="30">
        <v>115425</v>
      </c>
      <c r="HQ5" s="30">
        <v>116125</v>
      </c>
      <c r="HR5" s="30">
        <v>117187.5</v>
      </c>
      <c r="HS5" s="30">
        <v>116812.5</v>
      </c>
      <c r="HT5" s="30">
        <v>115775</v>
      </c>
      <c r="HU5" s="30">
        <v>116612.5</v>
      </c>
      <c r="HV5" s="30">
        <v>116400</v>
      </c>
      <c r="HW5" s="30">
        <v>116912.5</v>
      </c>
      <c r="HX5" s="30">
        <v>117350</v>
      </c>
      <c r="HY5" s="30">
        <v>118500</v>
      </c>
      <c r="HZ5" s="30">
        <v>119762.5</v>
      </c>
      <c r="IA5" s="30">
        <v>121387.5</v>
      </c>
      <c r="IB5" s="30">
        <v>122150</v>
      </c>
      <c r="IC5" s="30">
        <v>125175</v>
      </c>
      <c r="ID5" s="30">
        <v>127300</v>
      </c>
      <c r="IE5" s="30">
        <v>129150</v>
      </c>
      <c r="IF5" s="30">
        <v>130787.5</v>
      </c>
      <c r="IG5" s="30">
        <v>132925</v>
      </c>
      <c r="IH5" s="30">
        <v>134187.5</v>
      </c>
      <c r="II5" s="30">
        <v>134675</v>
      </c>
      <c r="IJ5" s="30">
        <v>139700</v>
      </c>
      <c r="IK5" s="30">
        <v>143162.5</v>
      </c>
      <c r="IL5" s="30">
        <v>145175</v>
      </c>
      <c r="IM5" s="30">
        <v>147275</v>
      </c>
      <c r="IN5" s="30">
        <v>147812.5</v>
      </c>
      <c r="IO5" s="30">
        <v>148675</v>
      </c>
      <c r="IP5" s="30">
        <v>149175</v>
      </c>
      <c r="IQ5" s="30">
        <v>149650</v>
      </c>
      <c r="IR5" s="30">
        <v>150625</v>
      </c>
      <c r="IS5" s="32">
        <v>151075</v>
      </c>
      <c r="IT5" s="19">
        <v>153087.5</v>
      </c>
      <c r="IU5" s="19">
        <v>155050</v>
      </c>
      <c r="IV5">
        <v>157562.5</v>
      </c>
      <c r="IW5">
        <v>159425</v>
      </c>
      <c r="IX5">
        <v>161075</v>
      </c>
      <c r="IY5">
        <v>163950</v>
      </c>
      <c r="IZ5">
        <v>166275</v>
      </c>
      <c r="JA5">
        <v>168200</v>
      </c>
      <c r="JB5">
        <v>171500</v>
      </c>
      <c r="JC5">
        <v>175000</v>
      </c>
      <c r="JD5">
        <v>176675</v>
      </c>
      <c r="JE5">
        <v>179050</v>
      </c>
      <c r="JF5">
        <v>181525</v>
      </c>
      <c r="JG5">
        <v>183412.5</v>
      </c>
      <c r="JH5">
        <v>183787.5</v>
      </c>
      <c r="JI5">
        <v>185525</v>
      </c>
      <c r="JJ5">
        <v>186025</v>
      </c>
      <c r="JK5">
        <v>187012.5</v>
      </c>
      <c r="JL5">
        <v>187662.5</v>
      </c>
      <c r="JM5">
        <v>190075</v>
      </c>
      <c r="JN5">
        <v>192600</v>
      </c>
      <c r="JO5">
        <v>198725</v>
      </c>
      <c r="JP5">
        <v>201325</v>
      </c>
      <c r="JQ5">
        <v>200825</v>
      </c>
      <c r="JR5">
        <v>201312.5</v>
      </c>
      <c r="JS5">
        <v>204175</v>
      </c>
      <c r="JT5">
        <v>202975</v>
      </c>
      <c r="JU5">
        <v>203875</v>
      </c>
      <c r="JV5">
        <v>205300</v>
      </c>
      <c r="JW5">
        <v>207312.5</v>
      </c>
      <c r="JX5">
        <v>211625</v>
      </c>
      <c r="JY5">
        <v>217075</v>
      </c>
      <c r="JZ5">
        <v>225500</v>
      </c>
    </row>
    <row r="6" spans="1:286" x14ac:dyDescent="0.25">
      <c r="A6" s="38" t="s">
        <v>20</v>
      </c>
      <c r="B6" s="30">
        <v>21886.396380952385</v>
      </c>
      <c r="C6" s="30">
        <v>24891.204603174629</v>
      </c>
      <c r="D6" s="30">
        <v>25801.710000000003</v>
      </c>
      <c r="E6" s="30">
        <v>27006.955173913055</v>
      </c>
      <c r="F6" s="30">
        <v>27375.511333333339</v>
      </c>
      <c r="G6" s="30">
        <v>27485.025151515132</v>
      </c>
      <c r="H6" s="30">
        <v>26795.014420289826</v>
      </c>
      <c r="I6" s="30">
        <v>26694.471130434791</v>
      </c>
      <c r="J6" s="30">
        <v>27226.101898550707</v>
      </c>
      <c r="K6" s="30">
        <v>28106.394</v>
      </c>
      <c r="L6" s="30">
        <v>28765.354527777763</v>
      </c>
      <c r="M6" s="30">
        <v>29054.350791666653</v>
      </c>
      <c r="N6" s="30">
        <v>27305.460175438591</v>
      </c>
      <c r="O6" s="30">
        <v>29452.922166666689</v>
      </c>
      <c r="P6" s="30">
        <v>30937.13466666665</v>
      </c>
      <c r="Q6" s="30">
        <v>31071.811666666665</v>
      </c>
      <c r="R6" s="30">
        <v>31211.949566666666</v>
      </c>
      <c r="S6" s="30">
        <v>31229.906500000001</v>
      </c>
      <c r="T6" s="30">
        <v>30967.079246376827</v>
      </c>
      <c r="U6" s="30">
        <v>30949.551855072426</v>
      </c>
      <c r="V6" s="30">
        <v>30827.087507246393</v>
      </c>
      <c r="W6" s="30">
        <v>30279.422086956514</v>
      </c>
      <c r="X6" s="30">
        <v>30354.142742424254</v>
      </c>
      <c r="Y6" s="30">
        <v>30429.829999999998</v>
      </c>
      <c r="Z6" s="30">
        <v>30620.05305263156</v>
      </c>
      <c r="AA6" s="30">
        <v>30418.670333333357</v>
      </c>
      <c r="AB6" s="30">
        <v>30733.91269565215</v>
      </c>
      <c r="AC6" s="30">
        <v>30701.773545454547</v>
      </c>
      <c r="AD6" s="30">
        <v>31151.545633333339</v>
      </c>
      <c r="AE6" s="30">
        <v>31944.873121212109</v>
      </c>
      <c r="AF6" s="30">
        <v>32033.333333333332</v>
      </c>
      <c r="AG6" s="30">
        <v>33800</v>
      </c>
      <c r="AH6" s="30">
        <v>34000</v>
      </c>
      <c r="AI6" s="30">
        <v>34633.333333333336</v>
      </c>
      <c r="AJ6" s="30">
        <v>35233.333333333336</v>
      </c>
      <c r="AK6" s="30">
        <v>34433.333333333336</v>
      </c>
      <c r="AL6" s="30">
        <v>36033.333333333336</v>
      </c>
      <c r="AM6" s="30">
        <v>35433.333333333336</v>
      </c>
      <c r="AN6" s="30">
        <v>36100</v>
      </c>
      <c r="AO6" s="30">
        <v>41066.666666666664</v>
      </c>
      <c r="AP6" s="30">
        <v>43300</v>
      </c>
      <c r="AQ6" s="30">
        <v>44100</v>
      </c>
      <c r="AR6" s="30">
        <v>43866.666666666664</v>
      </c>
      <c r="AS6" s="30">
        <v>46666.666666666664</v>
      </c>
      <c r="AT6" s="30">
        <v>46766.666666666664</v>
      </c>
      <c r="AU6" s="30">
        <v>47233.333333333336</v>
      </c>
      <c r="AV6" s="30">
        <v>48733.333333333336</v>
      </c>
      <c r="AW6" s="30">
        <v>47966.666666666664</v>
      </c>
      <c r="AX6" s="30">
        <v>50433.333333333336</v>
      </c>
      <c r="AY6" s="30">
        <v>51033.333333333336</v>
      </c>
      <c r="AZ6" s="30">
        <v>52833.333333333336</v>
      </c>
      <c r="BA6" s="30">
        <v>54200</v>
      </c>
      <c r="BB6" s="30">
        <v>54866.666666666664</v>
      </c>
      <c r="BC6" s="30">
        <v>54866.666666666664</v>
      </c>
      <c r="BD6" s="30">
        <v>55566.666666666664</v>
      </c>
      <c r="BE6" s="30">
        <v>65700</v>
      </c>
      <c r="BF6" s="30">
        <v>67200</v>
      </c>
      <c r="BG6" s="30">
        <v>69833.333333333328</v>
      </c>
      <c r="BH6" s="30">
        <v>72666.666666666672</v>
      </c>
      <c r="BI6" s="30">
        <v>76000</v>
      </c>
      <c r="BJ6" s="30">
        <v>78666.666666666672</v>
      </c>
      <c r="BK6" s="30">
        <v>80866.666666666672</v>
      </c>
      <c r="BL6" s="30">
        <v>83466.666666666672</v>
      </c>
      <c r="BM6" s="30">
        <v>86000</v>
      </c>
      <c r="BN6" s="30">
        <v>89500</v>
      </c>
      <c r="BO6" s="30">
        <v>91500</v>
      </c>
      <c r="BP6" s="30">
        <v>93733.333333333328</v>
      </c>
      <c r="BQ6" s="30">
        <v>97900</v>
      </c>
      <c r="BR6" s="30">
        <v>98466.666666666672</v>
      </c>
      <c r="BS6" s="30">
        <v>103300</v>
      </c>
      <c r="BT6" s="30">
        <v>105966.66666666667</v>
      </c>
      <c r="BU6" s="30">
        <v>109333.33333333333</v>
      </c>
      <c r="BV6" s="30">
        <v>109600</v>
      </c>
      <c r="BW6" s="30">
        <v>113766.66666666667</v>
      </c>
      <c r="BX6" s="30">
        <v>116133.33333333333</v>
      </c>
      <c r="BY6" s="30">
        <v>117933.33333333333</v>
      </c>
      <c r="BZ6" s="30">
        <v>120733.33333333333</v>
      </c>
      <c r="CA6" s="30">
        <v>122200</v>
      </c>
      <c r="CB6" s="30">
        <v>125866.66666666667</v>
      </c>
      <c r="CC6" s="30">
        <v>128466.66666666667</v>
      </c>
      <c r="CD6" s="30">
        <v>128766.66666666667</v>
      </c>
      <c r="CE6" s="30">
        <v>132266.66666666666</v>
      </c>
      <c r="CF6" s="30">
        <v>133100</v>
      </c>
      <c r="CG6" s="30">
        <v>131700</v>
      </c>
      <c r="CH6" s="30">
        <v>121366.66666666667</v>
      </c>
      <c r="CI6" s="30">
        <v>119400</v>
      </c>
      <c r="CJ6" s="30">
        <v>132100</v>
      </c>
      <c r="CK6" s="30">
        <v>122966.66666666667</v>
      </c>
      <c r="CL6" s="30">
        <v>122466.66666666667</v>
      </c>
      <c r="CM6" s="30">
        <v>120100</v>
      </c>
      <c r="CN6" s="30">
        <v>117100</v>
      </c>
      <c r="CO6" s="30">
        <v>115066.66666666667</v>
      </c>
      <c r="CP6" s="30">
        <v>116866.66666666667</v>
      </c>
      <c r="CQ6" s="30">
        <v>119500</v>
      </c>
      <c r="CR6" s="30">
        <v>118900</v>
      </c>
      <c r="CS6" s="30">
        <v>118633.33333333333</v>
      </c>
      <c r="CT6" s="30">
        <v>119766.66666666667</v>
      </c>
      <c r="CU6" s="30">
        <v>118700</v>
      </c>
      <c r="CV6" s="30">
        <v>120233.33333333333</v>
      </c>
      <c r="CW6" s="30">
        <v>121900</v>
      </c>
      <c r="CX6" s="30">
        <v>124400</v>
      </c>
      <c r="CY6" s="30">
        <v>125466.66666666667</v>
      </c>
      <c r="CZ6" s="30">
        <v>124700</v>
      </c>
      <c r="DA6" s="30">
        <v>125166.66666666667</v>
      </c>
      <c r="DB6" s="30">
        <v>125166.66666666667</v>
      </c>
      <c r="DC6" s="30">
        <v>123933.33333333333</v>
      </c>
      <c r="DD6" s="30">
        <v>123333.33333333333</v>
      </c>
      <c r="DE6" s="30">
        <v>122000</v>
      </c>
      <c r="DF6" s="30">
        <v>120766.66666666667</v>
      </c>
      <c r="DG6" s="30">
        <v>119733.33333333333</v>
      </c>
      <c r="DH6" s="30">
        <v>118933.33333333333</v>
      </c>
      <c r="DI6" s="30">
        <v>117300</v>
      </c>
      <c r="DJ6" s="30">
        <v>115683.33333333333</v>
      </c>
      <c r="DK6" s="30">
        <v>115250</v>
      </c>
      <c r="DL6" s="30">
        <v>114133.33333333333</v>
      </c>
      <c r="DM6" s="30">
        <v>111266.66666666667</v>
      </c>
      <c r="DN6" s="30">
        <v>109933.33333333333</v>
      </c>
      <c r="DO6" s="30">
        <v>110100</v>
      </c>
      <c r="DP6" s="30">
        <v>111300</v>
      </c>
      <c r="DQ6" s="30">
        <v>114824.33333333333</v>
      </c>
      <c r="DR6" s="30">
        <v>114838.33333333333</v>
      </c>
      <c r="DS6" s="30">
        <v>116566.66666666667</v>
      </c>
      <c r="DT6" s="30">
        <v>117633.33333333333</v>
      </c>
      <c r="DU6" s="30">
        <v>118000</v>
      </c>
      <c r="DV6" s="30">
        <v>119000</v>
      </c>
      <c r="DW6" s="30">
        <v>119133.33333333333</v>
      </c>
      <c r="DX6" s="30">
        <v>119133.33333333333</v>
      </c>
      <c r="DY6" s="30">
        <v>119133.33333333333</v>
      </c>
      <c r="DZ6" s="30">
        <v>119600</v>
      </c>
      <c r="EA6" s="30">
        <v>119600</v>
      </c>
      <c r="EB6" s="30">
        <v>119600</v>
      </c>
      <c r="EC6" s="30">
        <v>119633.33333333333</v>
      </c>
      <c r="ED6" s="30">
        <v>119633.33333333333</v>
      </c>
      <c r="EE6" s="30">
        <v>120000</v>
      </c>
      <c r="EF6" s="30">
        <v>120833.33333333333</v>
      </c>
      <c r="EG6" s="30">
        <v>120833.33333333333</v>
      </c>
      <c r="EH6" s="30">
        <v>120833.33333333333</v>
      </c>
      <c r="EI6" s="30">
        <v>120833.33333333333</v>
      </c>
      <c r="EJ6" s="30">
        <v>120833.33333333333</v>
      </c>
      <c r="EK6" s="30">
        <v>120950</v>
      </c>
      <c r="EL6" s="30">
        <v>120950</v>
      </c>
      <c r="EM6" s="30">
        <v>120950</v>
      </c>
      <c r="EN6" s="30">
        <v>120950</v>
      </c>
      <c r="EO6" s="30">
        <v>120950</v>
      </c>
      <c r="EP6" s="30">
        <v>120950</v>
      </c>
      <c r="EQ6" s="30">
        <v>120950</v>
      </c>
      <c r="ER6" s="30">
        <v>120950</v>
      </c>
      <c r="ES6" s="30">
        <v>120950</v>
      </c>
      <c r="ET6" s="30">
        <v>120950</v>
      </c>
      <c r="EU6" s="30">
        <v>120950</v>
      </c>
      <c r="EV6" s="30">
        <v>120950</v>
      </c>
      <c r="EW6" s="30">
        <v>120950</v>
      </c>
      <c r="EX6" s="30">
        <v>120950</v>
      </c>
      <c r="EY6" s="30">
        <v>120950</v>
      </c>
      <c r="EZ6" s="30">
        <v>120950</v>
      </c>
      <c r="FA6" s="30">
        <v>120950</v>
      </c>
      <c r="FB6" s="30">
        <v>120933.33333333333</v>
      </c>
      <c r="FC6" s="30">
        <v>120933.33333333333</v>
      </c>
      <c r="FD6" s="30">
        <v>120933.33333333333</v>
      </c>
      <c r="FE6" s="30">
        <v>120933.33333333333</v>
      </c>
      <c r="FF6" s="30">
        <v>120933.33333333333</v>
      </c>
      <c r="FG6" s="30">
        <v>120933.33333333333</v>
      </c>
      <c r="FH6" s="30">
        <v>120950</v>
      </c>
      <c r="FI6" s="30">
        <v>120950</v>
      </c>
      <c r="FJ6" s="30">
        <v>120950</v>
      </c>
      <c r="FK6" s="30">
        <v>120950</v>
      </c>
      <c r="FL6" s="30">
        <v>120950</v>
      </c>
      <c r="FM6" s="30">
        <v>120950</v>
      </c>
      <c r="FN6" s="30">
        <v>120950</v>
      </c>
      <c r="FO6" s="30">
        <v>121016.66666666667</v>
      </c>
      <c r="FP6" s="30">
        <v>121016.66666666667</v>
      </c>
      <c r="FQ6" s="30">
        <v>121016.66666666667</v>
      </c>
      <c r="FR6" s="30">
        <v>121016.66666666667</v>
      </c>
      <c r="FS6" s="30">
        <v>121016.66666666667</v>
      </c>
      <c r="FT6" s="30">
        <v>121016.66666666667</v>
      </c>
      <c r="FU6" s="30">
        <v>121016.66666666667</v>
      </c>
      <c r="FV6" s="30">
        <v>121016.66666666667</v>
      </c>
      <c r="FW6" s="30">
        <v>121016.66666666667</v>
      </c>
      <c r="FX6" s="30">
        <v>121016.66666666667</v>
      </c>
      <c r="FY6" s="30">
        <v>121016.66666666667</v>
      </c>
      <c r="FZ6" s="30">
        <v>121016.66666666667</v>
      </c>
      <c r="GA6" s="30">
        <v>120850</v>
      </c>
      <c r="GB6" s="30">
        <v>120366.66666666667</v>
      </c>
      <c r="GC6" s="30">
        <v>117350</v>
      </c>
      <c r="GD6" s="30">
        <v>101666.66666666667</v>
      </c>
      <c r="GE6" s="30">
        <v>94666.666666666672</v>
      </c>
      <c r="GF6" s="30">
        <v>94666.666666666672</v>
      </c>
      <c r="GG6" s="30">
        <v>94000</v>
      </c>
      <c r="GH6" s="30">
        <v>95933.333333333328</v>
      </c>
      <c r="GI6" s="30">
        <v>94933.333333333328</v>
      </c>
      <c r="GJ6" s="30">
        <v>93700</v>
      </c>
      <c r="GK6" s="30">
        <v>92366.666666666672</v>
      </c>
      <c r="GL6" s="30">
        <v>93033.333333333328</v>
      </c>
      <c r="GM6" s="30">
        <v>93866.666666666672</v>
      </c>
      <c r="GN6" s="30">
        <v>92400</v>
      </c>
      <c r="GO6" s="30">
        <v>93183.333333333328</v>
      </c>
      <c r="GP6" s="30">
        <v>91516.666666666672</v>
      </c>
      <c r="GQ6" s="30">
        <v>92900</v>
      </c>
      <c r="GR6" s="30">
        <v>93200</v>
      </c>
      <c r="GS6" s="30">
        <v>93800</v>
      </c>
      <c r="GT6" s="30">
        <v>93800</v>
      </c>
      <c r="GU6" s="30">
        <v>96133.333333333328</v>
      </c>
      <c r="GV6" s="30">
        <v>96333.333333333328</v>
      </c>
      <c r="GW6" s="30">
        <v>95633.333333333328</v>
      </c>
      <c r="GX6" s="30">
        <v>97000</v>
      </c>
      <c r="GY6" s="30">
        <v>97366.666666666672</v>
      </c>
      <c r="GZ6" s="30">
        <v>100633.33333333333</v>
      </c>
      <c r="HA6" s="30">
        <v>102150</v>
      </c>
      <c r="HB6" s="30">
        <v>103733.33333333333</v>
      </c>
      <c r="HC6" s="30">
        <v>104183.33333333333</v>
      </c>
      <c r="HD6" s="30">
        <v>104733.33333333333</v>
      </c>
      <c r="HE6" s="30">
        <v>106033.33333333333</v>
      </c>
      <c r="HF6" s="30">
        <v>105683.33333333333</v>
      </c>
      <c r="HG6" s="30">
        <v>107016.66666666667</v>
      </c>
      <c r="HH6" s="30">
        <v>108833.33333333333</v>
      </c>
      <c r="HI6" s="30">
        <v>95633.333333333328</v>
      </c>
      <c r="HJ6" s="30">
        <v>112933.33333333333</v>
      </c>
      <c r="HK6" s="30">
        <v>114700</v>
      </c>
      <c r="HL6" s="30">
        <v>115900</v>
      </c>
      <c r="HM6" s="30">
        <v>115900</v>
      </c>
      <c r="HN6" s="30">
        <v>114700</v>
      </c>
      <c r="HO6" s="30">
        <v>114700</v>
      </c>
      <c r="HP6" s="30">
        <v>114100</v>
      </c>
      <c r="HQ6" s="30">
        <v>115200</v>
      </c>
      <c r="HR6" s="30">
        <v>116733.33333333333</v>
      </c>
      <c r="HS6" s="30">
        <v>116100</v>
      </c>
      <c r="HT6" s="30">
        <v>115400</v>
      </c>
      <c r="HU6" s="30">
        <v>116233.33333333333</v>
      </c>
      <c r="HV6" s="30">
        <v>115400</v>
      </c>
      <c r="HW6" s="30">
        <v>115066.66666666667</v>
      </c>
      <c r="HX6" s="30">
        <v>116000</v>
      </c>
      <c r="HY6" s="30">
        <v>116600</v>
      </c>
      <c r="HZ6" s="30">
        <v>117666.66666666667</v>
      </c>
      <c r="IA6" s="30">
        <v>119416.66666666667</v>
      </c>
      <c r="IB6" s="30">
        <v>119900</v>
      </c>
      <c r="IC6" s="30">
        <v>122433.33333333333</v>
      </c>
      <c r="ID6" s="30">
        <v>124333.33333333333</v>
      </c>
      <c r="IE6" s="30">
        <v>125783.33333333333</v>
      </c>
      <c r="IF6" s="30">
        <v>128433.33333333333</v>
      </c>
      <c r="IG6" s="30">
        <v>132033.33333333334</v>
      </c>
      <c r="IH6" s="30">
        <v>133700</v>
      </c>
      <c r="II6" s="30">
        <v>135333.33333333334</v>
      </c>
      <c r="IJ6" s="30">
        <v>141200</v>
      </c>
      <c r="IK6" s="30">
        <v>147200</v>
      </c>
      <c r="IL6" s="30">
        <v>150100</v>
      </c>
      <c r="IM6" s="30">
        <v>153566.66666666666</v>
      </c>
      <c r="IN6" s="30">
        <v>156533.33333333334</v>
      </c>
      <c r="IO6" s="30">
        <v>156133.33333333334</v>
      </c>
      <c r="IP6" s="30">
        <v>157533.33333333334</v>
      </c>
      <c r="IQ6" s="30">
        <v>159033.33333333334</v>
      </c>
      <c r="IR6" s="30">
        <v>160533.33333333334</v>
      </c>
      <c r="IS6" s="32">
        <v>161733.33333333334</v>
      </c>
      <c r="IT6" s="19">
        <v>163033.33333333334</v>
      </c>
      <c r="IU6" s="19">
        <v>163566.66666666666</v>
      </c>
      <c r="IV6">
        <v>166283.33333333334</v>
      </c>
      <c r="IW6">
        <v>169600</v>
      </c>
      <c r="IX6">
        <v>171066.66666666666</v>
      </c>
      <c r="IY6">
        <v>173733.33333333334</v>
      </c>
      <c r="IZ6">
        <v>175900</v>
      </c>
      <c r="JA6">
        <v>178200</v>
      </c>
      <c r="JB6">
        <v>180533.33333333334</v>
      </c>
      <c r="JC6">
        <v>184366.66666666666</v>
      </c>
      <c r="JD6">
        <v>186200</v>
      </c>
      <c r="JE6">
        <v>188600</v>
      </c>
      <c r="JF6">
        <v>192533.33333333334</v>
      </c>
      <c r="JG6">
        <v>194833.33333333334</v>
      </c>
      <c r="JH6">
        <v>193833.33333333334</v>
      </c>
      <c r="JI6">
        <v>194383.33333333334</v>
      </c>
      <c r="JJ6">
        <v>195416.66666666666</v>
      </c>
      <c r="JK6">
        <v>197100</v>
      </c>
      <c r="JL6">
        <v>197766.66666666666</v>
      </c>
      <c r="JM6">
        <v>200533.33333333334</v>
      </c>
      <c r="JN6">
        <v>203500</v>
      </c>
      <c r="JO6">
        <v>209900</v>
      </c>
      <c r="JP6">
        <v>211833.33333333334</v>
      </c>
      <c r="JQ6">
        <v>215100</v>
      </c>
      <c r="JR6">
        <v>219333.33333333334</v>
      </c>
      <c r="JS6">
        <v>227266.66666666666</v>
      </c>
      <c r="JT6">
        <v>227433.33333333334</v>
      </c>
      <c r="JU6">
        <v>232766.66666666666</v>
      </c>
      <c r="JV6">
        <v>237200</v>
      </c>
      <c r="JW6">
        <v>240933.33333333334</v>
      </c>
      <c r="JX6">
        <v>243833.33333333334</v>
      </c>
      <c r="JY6">
        <v>248100</v>
      </c>
      <c r="JZ6">
        <v>258033.33333333334</v>
      </c>
    </row>
    <row r="7" spans="1:286" x14ac:dyDescent="0.25">
      <c r="A7" s="38" t="s">
        <v>21</v>
      </c>
      <c r="B7" s="30">
        <v>13439.262726190478</v>
      </c>
      <c r="C7" s="30">
        <v>14004.83559523811</v>
      </c>
      <c r="D7" s="30">
        <v>14431.222500000002</v>
      </c>
      <c r="E7" s="30">
        <v>14660.092369565224</v>
      </c>
      <c r="F7" s="30">
        <v>14781.614500000001</v>
      </c>
      <c r="G7" s="30">
        <v>14894.173840909081</v>
      </c>
      <c r="H7" s="30">
        <v>14580.7494021739</v>
      </c>
      <c r="I7" s="30">
        <v>14436.235956521747</v>
      </c>
      <c r="J7" s="30">
        <v>14619.682913043467</v>
      </c>
      <c r="K7" s="30">
        <v>15075.688230000002</v>
      </c>
      <c r="L7" s="30">
        <v>15147.091729166657</v>
      </c>
      <c r="M7" s="30">
        <v>15170.229437499991</v>
      </c>
      <c r="N7" s="30">
        <v>14983.992736842101</v>
      </c>
      <c r="O7" s="30">
        <v>15361.643545454554</v>
      </c>
      <c r="P7" s="30">
        <v>15660.448416666661</v>
      </c>
      <c r="Q7" s="30">
        <v>15658.428750000001</v>
      </c>
      <c r="R7" s="30">
        <v>14379.372510000001</v>
      </c>
      <c r="S7" s="30">
        <v>14419.204800000001</v>
      </c>
      <c r="T7" s="30">
        <v>14326.379269565223</v>
      </c>
      <c r="U7" s="30">
        <v>14337.774956521724</v>
      </c>
      <c r="V7" s="30">
        <v>14334.883078260877</v>
      </c>
      <c r="W7" s="30">
        <v>14096.5652173913</v>
      </c>
      <c r="X7" s="30">
        <v>14136.411672727274</v>
      </c>
      <c r="Y7" s="30">
        <v>14165.415599999998</v>
      </c>
      <c r="Z7" s="30">
        <v>14290.621294736829</v>
      </c>
      <c r="AA7" s="30">
        <v>14221.716000000011</v>
      </c>
      <c r="AB7" s="30">
        <v>14443.813182608685</v>
      </c>
      <c r="AC7" s="30">
        <v>14411.642672727277</v>
      </c>
      <c r="AD7" s="30">
        <v>14910.739819999999</v>
      </c>
      <c r="AE7" s="30">
        <v>14859.261072727266</v>
      </c>
      <c r="AF7" s="30">
        <v>14540</v>
      </c>
      <c r="AG7" s="30">
        <v>14540</v>
      </c>
      <c r="AH7" s="30">
        <v>14420</v>
      </c>
      <c r="AI7" s="30">
        <v>14220</v>
      </c>
      <c r="AJ7" s="30">
        <v>14240</v>
      </c>
      <c r="AK7" s="30">
        <v>13960</v>
      </c>
      <c r="AL7" s="30">
        <v>14180</v>
      </c>
      <c r="AM7" s="30">
        <v>13740</v>
      </c>
      <c r="AN7" s="30">
        <v>13680</v>
      </c>
      <c r="AO7" s="30">
        <v>15180</v>
      </c>
      <c r="AP7" s="30">
        <v>16700</v>
      </c>
      <c r="AQ7" s="30">
        <v>17000</v>
      </c>
      <c r="AR7" s="30">
        <v>20600</v>
      </c>
      <c r="AS7" s="30">
        <v>22920</v>
      </c>
      <c r="AT7" s="30">
        <v>23020</v>
      </c>
      <c r="AU7" s="30">
        <v>23320</v>
      </c>
      <c r="AV7" s="30">
        <v>24100</v>
      </c>
      <c r="AW7" s="30">
        <v>23680</v>
      </c>
      <c r="AX7" s="30">
        <v>24240</v>
      </c>
      <c r="AY7" s="30">
        <v>24560</v>
      </c>
      <c r="AZ7" s="30">
        <v>25640</v>
      </c>
      <c r="BA7" s="30">
        <v>25960</v>
      </c>
      <c r="BB7" s="30">
        <v>25900</v>
      </c>
      <c r="BC7" s="30">
        <v>25900</v>
      </c>
      <c r="BD7" s="30">
        <v>26180</v>
      </c>
      <c r="BE7" s="30">
        <v>27380</v>
      </c>
      <c r="BF7" s="30">
        <v>29280</v>
      </c>
      <c r="BG7" s="30">
        <v>30100</v>
      </c>
      <c r="BH7" s="30">
        <v>31460</v>
      </c>
      <c r="BI7" s="30">
        <v>32580</v>
      </c>
      <c r="BJ7" s="30">
        <v>33380</v>
      </c>
      <c r="BK7" s="30">
        <v>33840</v>
      </c>
      <c r="BL7" s="30">
        <v>34900</v>
      </c>
      <c r="BM7" s="30">
        <v>35780</v>
      </c>
      <c r="BN7" s="30">
        <v>36420</v>
      </c>
      <c r="BO7" s="30">
        <v>37340</v>
      </c>
      <c r="BP7" s="30">
        <v>38660</v>
      </c>
      <c r="BQ7" s="30">
        <v>39520</v>
      </c>
      <c r="BR7" s="30">
        <v>39820</v>
      </c>
      <c r="BS7" s="30">
        <v>41640</v>
      </c>
      <c r="BT7" s="30">
        <v>43100</v>
      </c>
      <c r="BU7" s="30">
        <v>44740</v>
      </c>
      <c r="BV7" s="30">
        <v>44940</v>
      </c>
      <c r="BW7" s="30">
        <v>46140</v>
      </c>
      <c r="BX7" s="30">
        <v>47580</v>
      </c>
      <c r="BY7" s="30">
        <v>48860</v>
      </c>
      <c r="BZ7" s="30">
        <v>50240</v>
      </c>
      <c r="CA7" s="30">
        <v>51580</v>
      </c>
      <c r="CB7" s="30">
        <v>53060</v>
      </c>
      <c r="CC7" s="30">
        <v>53780</v>
      </c>
      <c r="CD7" s="30">
        <v>54140</v>
      </c>
      <c r="CE7" s="30">
        <v>55000</v>
      </c>
      <c r="CF7" s="30">
        <v>56260</v>
      </c>
      <c r="CG7" s="30">
        <v>55940</v>
      </c>
      <c r="CH7" s="30">
        <v>55560</v>
      </c>
      <c r="CI7" s="30">
        <v>53680</v>
      </c>
      <c r="CJ7" s="30">
        <v>58520</v>
      </c>
      <c r="CK7" s="30">
        <v>55040</v>
      </c>
      <c r="CL7" s="30">
        <v>52560</v>
      </c>
      <c r="CM7" s="30">
        <v>53200</v>
      </c>
      <c r="CN7" s="30">
        <v>52420</v>
      </c>
      <c r="CO7" s="30">
        <v>52400</v>
      </c>
      <c r="CP7" s="30">
        <v>52020</v>
      </c>
      <c r="CQ7" s="30">
        <v>53140</v>
      </c>
      <c r="CR7" s="30">
        <v>53040</v>
      </c>
      <c r="CS7" s="30">
        <v>53680</v>
      </c>
      <c r="CT7" s="30">
        <v>54100</v>
      </c>
      <c r="CU7" s="30">
        <v>54340</v>
      </c>
      <c r="CV7" s="30">
        <v>55820</v>
      </c>
      <c r="CW7" s="30">
        <v>55720</v>
      </c>
      <c r="CX7" s="30">
        <v>56400</v>
      </c>
      <c r="CY7" s="30">
        <v>57000</v>
      </c>
      <c r="CZ7" s="30">
        <v>57620</v>
      </c>
      <c r="DA7" s="30">
        <v>57060</v>
      </c>
      <c r="DB7" s="30">
        <v>56780</v>
      </c>
      <c r="DC7" s="30">
        <v>56660</v>
      </c>
      <c r="DD7" s="30">
        <v>56680</v>
      </c>
      <c r="DE7" s="30">
        <v>56020</v>
      </c>
      <c r="DF7" s="30">
        <v>55600</v>
      </c>
      <c r="DG7" s="30">
        <v>55440</v>
      </c>
      <c r="DH7" s="30">
        <v>55720</v>
      </c>
      <c r="DI7" s="30">
        <v>57252</v>
      </c>
      <c r="DJ7" s="30">
        <v>57598</v>
      </c>
      <c r="DK7" s="30">
        <v>58040</v>
      </c>
      <c r="DL7" s="30">
        <v>58800</v>
      </c>
      <c r="DM7" s="30">
        <v>59460</v>
      </c>
      <c r="DN7" s="30">
        <v>60260</v>
      </c>
      <c r="DO7" s="30">
        <v>60120</v>
      </c>
      <c r="DP7" s="30">
        <v>58980</v>
      </c>
      <c r="DQ7" s="30">
        <v>62856.2</v>
      </c>
      <c r="DR7" s="30">
        <v>63323.4</v>
      </c>
      <c r="DS7" s="30">
        <v>61020</v>
      </c>
      <c r="DT7" s="30">
        <v>60000</v>
      </c>
      <c r="DU7" s="30">
        <v>60620</v>
      </c>
      <c r="DV7" s="30">
        <v>61750</v>
      </c>
      <c r="DW7" s="30">
        <v>62400</v>
      </c>
      <c r="DX7" s="30">
        <v>63190</v>
      </c>
      <c r="DY7" s="30">
        <v>64030</v>
      </c>
      <c r="DZ7" s="30">
        <v>64170</v>
      </c>
      <c r="EA7" s="30">
        <v>64950</v>
      </c>
      <c r="EB7" s="30">
        <v>65580</v>
      </c>
      <c r="EC7" s="30">
        <v>66270</v>
      </c>
      <c r="ED7" s="30">
        <v>66550</v>
      </c>
      <c r="EE7" s="30">
        <v>66830</v>
      </c>
      <c r="EF7" s="30">
        <v>67350</v>
      </c>
      <c r="EG7" s="30">
        <v>67510</v>
      </c>
      <c r="EH7" s="30">
        <v>67510</v>
      </c>
      <c r="EI7" s="30">
        <v>67610</v>
      </c>
      <c r="EJ7" s="30">
        <v>67610</v>
      </c>
      <c r="EK7" s="30">
        <v>67650</v>
      </c>
      <c r="EL7" s="30">
        <v>67740</v>
      </c>
      <c r="EM7" s="30">
        <v>67960</v>
      </c>
      <c r="EN7" s="30">
        <v>68010</v>
      </c>
      <c r="EO7" s="30">
        <v>68010</v>
      </c>
      <c r="EP7" s="30">
        <v>68030</v>
      </c>
      <c r="EQ7" s="30">
        <v>68030</v>
      </c>
      <c r="ER7" s="30">
        <v>68030</v>
      </c>
      <c r="ES7" s="30">
        <v>68030</v>
      </c>
      <c r="ET7" s="30">
        <v>68030</v>
      </c>
      <c r="EU7" s="30">
        <v>68030</v>
      </c>
      <c r="EV7" s="30">
        <v>68030</v>
      </c>
      <c r="EW7" s="30">
        <v>68030</v>
      </c>
      <c r="EX7" s="30">
        <v>68030</v>
      </c>
      <c r="EY7" s="30">
        <v>68050</v>
      </c>
      <c r="EZ7" s="30">
        <v>68050</v>
      </c>
      <c r="FA7" s="30">
        <v>68060</v>
      </c>
      <c r="FB7" s="30">
        <v>68050</v>
      </c>
      <c r="FC7" s="30">
        <v>68080</v>
      </c>
      <c r="FD7" s="30">
        <v>68100</v>
      </c>
      <c r="FE7" s="30">
        <v>68110</v>
      </c>
      <c r="FF7" s="30">
        <v>68110</v>
      </c>
      <c r="FG7" s="30">
        <v>68120</v>
      </c>
      <c r="FH7" s="30">
        <v>68150</v>
      </c>
      <c r="FI7" s="30">
        <v>68170</v>
      </c>
      <c r="FJ7" s="30">
        <v>68190</v>
      </c>
      <c r="FK7" s="30">
        <v>68220</v>
      </c>
      <c r="FL7" s="30">
        <v>68240</v>
      </c>
      <c r="FM7" s="30">
        <v>68240</v>
      </c>
      <c r="FN7" s="30">
        <v>68250</v>
      </c>
      <c r="FO7" s="30">
        <v>68280</v>
      </c>
      <c r="FP7" s="30">
        <v>68310</v>
      </c>
      <c r="FQ7" s="30">
        <v>68310</v>
      </c>
      <c r="FR7" s="30">
        <v>68330</v>
      </c>
      <c r="FS7" s="30">
        <v>68350</v>
      </c>
      <c r="FT7" s="30">
        <v>68350</v>
      </c>
      <c r="FU7" s="30">
        <v>68350</v>
      </c>
      <c r="FV7" s="30">
        <v>68370</v>
      </c>
      <c r="FW7" s="30">
        <v>68400</v>
      </c>
      <c r="FX7" s="30">
        <v>68420</v>
      </c>
      <c r="FY7" s="30">
        <v>68420</v>
      </c>
      <c r="FZ7" s="30">
        <v>68420</v>
      </c>
      <c r="GA7" s="30">
        <v>68390</v>
      </c>
      <c r="GB7" s="30">
        <v>64520</v>
      </c>
      <c r="GC7" s="30">
        <v>63120</v>
      </c>
      <c r="GD7" s="30">
        <v>63380</v>
      </c>
      <c r="GE7" s="30">
        <v>63580</v>
      </c>
      <c r="GF7" s="30">
        <v>63580</v>
      </c>
      <c r="GG7" s="30">
        <v>62800</v>
      </c>
      <c r="GH7" s="30">
        <v>62380</v>
      </c>
      <c r="GI7" s="30">
        <v>62580</v>
      </c>
      <c r="GJ7" s="30">
        <v>63120</v>
      </c>
      <c r="GK7" s="30">
        <v>63820</v>
      </c>
      <c r="GL7" s="30">
        <v>63800</v>
      </c>
      <c r="GM7" s="30">
        <v>65180</v>
      </c>
      <c r="GN7" s="30">
        <v>70090</v>
      </c>
      <c r="GO7" s="30">
        <v>69620</v>
      </c>
      <c r="GP7" s="30">
        <v>71960</v>
      </c>
      <c r="GQ7" s="30">
        <v>71220</v>
      </c>
      <c r="GR7" s="30">
        <v>71700</v>
      </c>
      <c r="GS7" s="30">
        <v>72580</v>
      </c>
      <c r="GT7" s="30">
        <v>72180</v>
      </c>
      <c r="GU7" s="30">
        <v>71540</v>
      </c>
      <c r="GV7" s="30">
        <v>71760</v>
      </c>
      <c r="GW7" s="30">
        <v>71120</v>
      </c>
      <c r="GX7" s="30">
        <v>71680</v>
      </c>
      <c r="GY7" s="30">
        <v>72100</v>
      </c>
      <c r="GZ7" s="30">
        <v>72360</v>
      </c>
      <c r="HA7" s="30">
        <v>71920</v>
      </c>
      <c r="HB7" s="30">
        <v>71740</v>
      </c>
      <c r="HC7" s="30">
        <v>71720</v>
      </c>
      <c r="HD7" s="30">
        <v>71720</v>
      </c>
      <c r="HE7" s="30">
        <v>71240</v>
      </c>
      <c r="HF7" s="30">
        <v>71920</v>
      </c>
      <c r="HG7" s="30">
        <v>72020</v>
      </c>
      <c r="HH7" s="30">
        <v>72420</v>
      </c>
      <c r="HI7" s="30">
        <v>71120</v>
      </c>
      <c r="HJ7" s="30">
        <v>71580</v>
      </c>
      <c r="HK7" s="30">
        <v>71560</v>
      </c>
      <c r="HL7" s="30">
        <v>71360</v>
      </c>
      <c r="HM7" s="30">
        <v>71360</v>
      </c>
      <c r="HN7" s="30">
        <v>71400</v>
      </c>
      <c r="HO7" s="30">
        <v>69660</v>
      </c>
      <c r="HP7" s="30">
        <v>68120</v>
      </c>
      <c r="HQ7" s="30">
        <v>67300</v>
      </c>
      <c r="HR7" s="30">
        <v>66010</v>
      </c>
      <c r="HS7" s="30">
        <v>64900</v>
      </c>
      <c r="HT7" s="30">
        <v>63940</v>
      </c>
      <c r="HU7" s="30">
        <v>63400</v>
      </c>
      <c r="HV7" s="30">
        <v>62560</v>
      </c>
      <c r="HW7" s="30">
        <v>62580</v>
      </c>
      <c r="HX7" s="30">
        <v>62700</v>
      </c>
      <c r="HY7" s="30">
        <v>62820</v>
      </c>
      <c r="HZ7" s="30">
        <v>62610</v>
      </c>
      <c r="IA7" s="30">
        <v>63660</v>
      </c>
      <c r="IB7" s="30">
        <v>63420</v>
      </c>
      <c r="IC7" s="30">
        <v>65080</v>
      </c>
      <c r="ID7" s="30">
        <v>65820</v>
      </c>
      <c r="IE7" s="30">
        <v>66120</v>
      </c>
      <c r="IF7" s="30">
        <v>67480</v>
      </c>
      <c r="IG7" s="30">
        <v>69040</v>
      </c>
      <c r="IH7" s="30">
        <v>69200</v>
      </c>
      <c r="II7" s="30">
        <v>70240</v>
      </c>
      <c r="IJ7" s="30">
        <v>72980</v>
      </c>
      <c r="IK7" s="30">
        <v>73830</v>
      </c>
      <c r="IL7" s="30">
        <v>75980</v>
      </c>
      <c r="IM7" s="30">
        <v>77840</v>
      </c>
      <c r="IN7" s="30">
        <v>78420</v>
      </c>
      <c r="IO7" s="30">
        <v>78740</v>
      </c>
      <c r="IP7" s="30">
        <v>78600</v>
      </c>
      <c r="IQ7" s="30">
        <v>79020</v>
      </c>
      <c r="IR7" s="30">
        <v>79730</v>
      </c>
      <c r="IS7" s="32">
        <v>80560</v>
      </c>
      <c r="IT7" s="19">
        <v>81560</v>
      </c>
      <c r="IU7" s="19">
        <v>82380</v>
      </c>
      <c r="IV7">
        <v>83160</v>
      </c>
      <c r="IW7">
        <v>84480</v>
      </c>
      <c r="IX7">
        <v>85830</v>
      </c>
      <c r="IY7">
        <v>86710</v>
      </c>
      <c r="IZ7">
        <v>87720</v>
      </c>
      <c r="JA7">
        <v>89860</v>
      </c>
      <c r="JB7">
        <v>91480</v>
      </c>
      <c r="JC7">
        <v>92900</v>
      </c>
      <c r="JD7">
        <v>93840</v>
      </c>
      <c r="JE7">
        <v>94640</v>
      </c>
      <c r="JF7">
        <v>96350</v>
      </c>
      <c r="JG7">
        <v>96910</v>
      </c>
      <c r="JH7">
        <v>96500</v>
      </c>
      <c r="JI7">
        <v>97280</v>
      </c>
      <c r="JJ7">
        <v>98010</v>
      </c>
      <c r="JK7">
        <v>99260</v>
      </c>
      <c r="JL7">
        <v>100260</v>
      </c>
      <c r="JM7">
        <v>101920</v>
      </c>
      <c r="JN7">
        <v>103540</v>
      </c>
      <c r="JO7">
        <v>105680</v>
      </c>
      <c r="JP7">
        <v>105820</v>
      </c>
      <c r="JQ7">
        <v>107570</v>
      </c>
      <c r="JR7">
        <v>109860</v>
      </c>
      <c r="JS7">
        <v>111680</v>
      </c>
      <c r="JT7">
        <v>111860</v>
      </c>
      <c r="JU7">
        <v>111820</v>
      </c>
      <c r="JV7">
        <v>112320</v>
      </c>
      <c r="JW7">
        <v>115500</v>
      </c>
      <c r="JX7">
        <v>118080</v>
      </c>
      <c r="JY7">
        <v>119200</v>
      </c>
      <c r="JZ7">
        <v>121640</v>
      </c>
    </row>
    <row r="8" spans="1:286" x14ac:dyDescent="0.25">
      <c r="A8" s="38" t="s">
        <v>22</v>
      </c>
      <c r="B8" s="30">
        <v>15828.151609523813</v>
      </c>
      <c r="C8" s="30">
        <v>16076.590285714303</v>
      </c>
      <c r="D8" s="30">
        <v>16796.856</v>
      </c>
      <c r="E8" s="30">
        <v>16551.15753913044</v>
      </c>
      <c r="F8" s="30">
        <v>16704.095600000004</v>
      </c>
      <c r="G8" s="30">
        <v>17025.231072727263</v>
      </c>
      <c r="H8" s="30">
        <v>16755.84082608694</v>
      </c>
      <c r="I8" s="30">
        <v>16709.175234782619</v>
      </c>
      <c r="J8" s="30">
        <v>17114.624939130423</v>
      </c>
      <c r="K8" s="30">
        <v>17805.885192000002</v>
      </c>
      <c r="L8" s="30">
        <v>17925.275766666658</v>
      </c>
      <c r="M8" s="30">
        <v>17970.437491666657</v>
      </c>
      <c r="N8" s="30">
        <v>17724.255999999994</v>
      </c>
      <c r="O8" s="30">
        <v>18269.802018181828</v>
      </c>
      <c r="P8" s="30">
        <v>18928.33086666666</v>
      </c>
      <c r="Q8" s="30">
        <v>18937.142</v>
      </c>
      <c r="R8" s="30">
        <v>18961.552340000002</v>
      </c>
      <c r="S8" s="30">
        <v>19007.133600000001</v>
      </c>
      <c r="T8" s="30">
        <v>18835.247826086961</v>
      </c>
      <c r="U8" s="30">
        <v>18800.985547826065</v>
      </c>
      <c r="V8" s="30">
        <v>18726.162417391315</v>
      </c>
      <c r="W8" s="30">
        <v>18427.030052173908</v>
      </c>
      <c r="X8" s="30">
        <v>18573.799681818189</v>
      </c>
      <c r="Y8" s="30">
        <v>18608.359199999999</v>
      </c>
      <c r="Z8" s="30">
        <v>18713.096778947354</v>
      </c>
      <c r="AA8" s="30">
        <v>18589.814485714302</v>
      </c>
      <c r="AB8" s="30">
        <v>19284.685878260854</v>
      </c>
      <c r="AC8" s="30">
        <v>19211.811136363645</v>
      </c>
      <c r="AD8" s="30">
        <v>19829.404919999994</v>
      </c>
      <c r="AE8" s="30">
        <v>19993.647036363625</v>
      </c>
      <c r="AF8" s="30">
        <v>19640</v>
      </c>
      <c r="AG8" s="30">
        <v>19620</v>
      </c>
      <c r="AH8" s="30">
        <v>19700</v>
      </c>
      <c r="AI8" s="30">
        <v>19660</v>
      </c>
      <c r="AJ8" s="30">
        <v>20060</v>
      </c>
      <c r="AK8" s="30">
        <v>19800</v>
      </c>
      <c r="AL8" s="30">
        <v>14887.5</v>
      </c>
      <c r="AM8" s="30">
        <v>14450</v>
      </c>
      <c r="AN8" s="30">
        <v>14362.5</v>
      </c>
      <c r="AO8" s="30">
        <v>15312.5</v>
      </c>
      <c r="AP8" s="30">
        <v>16412.5</v>
      </c>
      <c r="AQ8" s="30">
        <v>16750</v>
      </c>
      <c r="AR8" s="30">
        <v>16787.5</v>
      </c>
      <c r="AS8" s="30">
        <v>17825</v>
      </c>
      <c r="AT8" s="30">
        <v>17762.5</v>
      </c>
      <c r="AU8" s="30">
        <v>18037.5</v>
      </c>
      <c r="AV8" s="30">
        <v>18725</v>
      </c>
      <c r="AW8" s="30">
        <v>18450</v>
      </c>
      <c r="AX8" s="30">
        <v>18675</v>
      </c>
      <c r="AY8" s="30">
        <v>18762.5</v>
      </c>
      <c r="AZ8" s="30">
        <v>19600</v>
      </c>
      <c r="BA8" s="30">
        <v>20350</v>
      </c>
      <c r="BB8" s="30">
        <v>20187.5</v>
      </c>
      <c r="BC8" s="30">
        <v>20187.5</v>
      </c>
      <c r="BD8" s="30">
        <v>20512.5</v>
      </c>
      <c r="BE8" s="30">
        <v>22550</v>
      </c>
      <c r="BF8" s="30">
        <v>22950</v>
      </c>
      <c r="BG8" s="30">
        <v>23375</v>
      </c>
      <c r="BH8" s="30">
        <v>24037.5</v>
      </c>
      <c r="BI8" s="30">
        <v>24612.5</v>
      </c>
      <c r="BJ8" s="30">
        <v>25062.5</v>
      </c>
      <c r="BK8" s="30">
        <v>25512.5</v>
      </c>
      <c r="BL8" s="30">
        <v>25812.5</v>
      </c>
      <c r="BM8" s="30">
        <v>26350</v>
      </c>
      <c r="BN8" s="30">
        <v>27125</v>
      </c>
      <c r="BO8" s="30">
        <v>27462.5</v>
      </c>
      <c r="BP8" s="30">
        <v>28675</v>
      </c>
      <c r="BQ8" s="30">
        <v>29375</v>
      </c>
      <c r="BR8" s="30">
        <v>29687.5</v>
      </c>
      <c r="BS8" s="30">
        <v>30925</v>
      </c>
      <c r="BT8" s="30">
        <v>31575</v>
      </c>
      <c r="BU8" s="30">
        <v>32525</v>
      </c>
      <c r="BV8" s="30">
        <v>32937.5</v>
      </c>
      <c r="BW8" s="30">
        <v>33100</v>
      </c>
      <c r="BX8" s="30">
        <v>33625</v>
      </c>
      <c r="BY8" s="30">
        <v>34175</v>
      </c>
      <c r="BZ8" s="30">
        <v>34812.5</v>
      </c>
      <c r="CA8" s="30">
        <v>35850</v>
      </c>
      <c r="CB8" s="30">
        <v>36662.5</v>
      </c>
      <c r="CC8" s="30">
        <v>37387.5</v>
      </c>
      <c r="CD8" s="30">
        <v>37587.5</v>
      </c>
      <c r="CE8" s="30">
        <v>37750</v>
      </c>
      <c r="CF8" s="30">
        <v>37887.5</v>
      </c>
      <c r="CG8" s="30">
        <v>38687.5</v>
      </c>
      <c r="CH8" s="30">
        <v>38612.5</v>
      </c>
      <c r="CI8" s="30">
        <v>37462.5</v>
      </c>
      <c r="CJ8" s="30">
        <v>40112.5</v>
      </c>
      <c r="CK8" s="30">
        <v>38462.5</v>
      </c>
      <c r="CL8" s="30">
        <v>38337.5</v>
      </c>
      <c r="CM8" s="30">
        <v>38975</v>
      </c>
      <c r="CN8" s="30">
        <v>38837.5</v>
      </c>
      <c r="CO8" s="30">
        <v>38650</v>
      </c>
      <c r="CP8" s="30">
        <v>39200</v>
      </c>
      <c r="CQ8" s="30">
        <v>39262.5</v>
      </c>
      <c r="CR8" s="30">
        <v>39362.5</v>
      </c>
      <c r="CS8" s="30">
        <v>39700</v>
      </c>
      <c r="CT8" s="30">
        <v>39500</v>
      </c>
      <c r="CU8" s="30">
        <v>39487.5</v>
      </c>
      <c r="CV8" s="30">
        <v>40025</v>
      </c>
      <c r="CW8" s="30">
        <v>40362.5</v>
      </c>
      <c r="CX8" s="30">
        <v>40737.5</v>
      </c>
      <c r="CY8" s="30">
        <v>40925</v>
      </c>
      <c r="CZ8" s="30">
        <v>41400</v>
      </c>
      <c r="DA8" s="30">
        <v>41675</v>
      </c>
      <c r="DB8" s="30">
        <v>41562.5</v>
      </c>
      <c r="DC8" s="30">
        <v>41437.5</v>
      </c>
      <c r="DD8" s="30">
        <v>41337.5</v>
      </c>
      <c r="DE8" s="30">
        <v>41087.5</v>
      </c>
      <c r="DF8" s="30">
        <v>41000</v>
      </c>
      <c r="DG8" s="30">
        <v>40925</v>
      </c>
      <c r="DH8" s="30">
        <v>42812.5</v>
      </c>
      <c r="DI8" s="30">
        <v>44337.5</v>
      </c>
      <c r="DJ8" s="30">
        <v>45312.5</v>
      </c>
      <c r="DK8" s="30">
        <v>45868.75</v>
      </c>
      <c r="DL8" s="30">
        <v>46550</v>
      </c>
      <c r="DM8" s="30">
        <v>47587.5</v>
      </c>
      <c r="DN8" s="30">
        <v>48662.5</v>
      </c>
      <c r="DO8" s="30">
        <v>49087.5</v>
      </c>
      <c r="DP8" s="30">
        <v>50175</v>
      </c>
      <c r="DQ8" s="30">
        <v>50288.5</v>
      </c>
      <c r="DR8" s="30">
        <v>50398.375</v>
      </c>
      <c r="DS8" s="30">
        <v>48250</v>
      </c>
      <c r="DT8" s="30">
        <v>47625</v>
      </c>
      <c r="DU8" s="30">
        <v>47937.5</v>
      </c>
      <c r="DV8" s="30">
        <v>48325</v>
      </c>
      <c r="DW8" s="30">
        <v>49050</v>
      </c>
      <c r="DX8" s="30">
        <v>49206.25</v>
      </c>
      <c r="DY8" s="30">
        <v>49312.5</v>
      </c>
      <c r="DZ8" s="30">
        <v>49462.5</v>
      </c>
      <c r="EA8" s="30">
        <v>49637.5</v>
      </c>
      <c r="EB8" s="30">
        <v>49650</v>
      </c>
      <c r="EC8" s="30">
        <v>49675</v>
      </c>
      <c r="ED8" s="30">
        <v>49862.5</v>
      </c>
      <c r="EE8" s="30">
        <v>49962.5</v>
      </c>
      <c r="EF8" s="30">
        <v>50262.5</v>
      </c>
      <c r="EG8" s="30">
        <v>50450</v>
      </c>
      <c r="EH8" s="30">
        <v>50450</v>
      </c>
      <c r="EI8" s="30">
        <v>50450</v>
      </c>
      <c r="EJ8" s="30">
        <v>50450</v>
      </c>
      <c r="EK8" s="30">
        <v>50487.5</v>
      </c>
      <c r="EL8" s="30">
        <v>50506.25</v>
      </c>
      <c r="EM8" s="30">
        <v>50506.25</v>
      </c>
      <c r="EN8" s="30">
        <v>50525</v>
      </c>
      <c r="EO8" s="30">
        <v>50525</v>
      </c>
      <c r="EP8" s="30">
        <v>50525</v>
      </c>
      <c r="EQ8" s="30">
        <v>50525</v>
      </c>
      <c r="ER8" s="30">
        <v>50525</v>
      </c>
      <c r="ES8" s="30">
        <v>50525</v>
      </c>
      <c r="ET8" s="30">
        <v>50525</v>
      </c>
      <c r="EU8" s="30">
        <v>50525</v>
      </c>
      <c r="EV8" s="30">
        <v>50525</v>
      </c>
      <c r="EW8" s="30">
        <v>50525</v>
      </c>
      <c r="EX8" s="30">
        <v>50525</v>
      </c>
      <c r="EY8" s="30">
        <v>50537.5</v>
      </c>
      <c r="EZ8" s="30">
        <v>50537.5</v>
      </c>
      <c r="FA8" s="30">
        <v>50600</v>
      </c>
      <c r="FB8" s="30">
        <v>50575</v>
      </c>
      <c r="FC8" s="30">
        <v>50575</v>
      </c>
      <c r="FD8" s="30">
        <v>50575</v>
      </c>
      <c r="FE8" s="30">
        <v>50587.5</v>
      </c>
      <c r="FF8" s="30">
        <v>50587.5</v>
      </c>
      <c r="FG8" s="30">
        <v>50606.25</v>
      </c>
      <c r="FH8" s="30">
        <v>50631.25</v>
      </c>
      <c r="FI8" s="30">
        <v>50631.25</v>
      </c>
      <c r="FJ8" s="30">
        <v>50631.25</v>
      </c>
      <c r="FK8" s="30">
        <v>50643.75</v>
      </c>
      <c r="FL8" s="30">
        <v>50656.25</v>
      </c>
      <c r="FM8" s="30">
        <v>50656.25</v>
      </c>
      <c r="FN8" s="30">
        <v>50656.25</v>
      </c>
      <c r="FO8" s="30">
        <v>50700</v>
      </c>
      <c r="FP8" s="30">
        <v>50725</v>
      </c>
      <c r="FQ8" s="30">
        <v>50725</v>
      </c>
      <c r="FR8" s="30">
        <v>50731.25</v>
      </c>
      <c r="FS8" s="30">
        <v>50750</v>
      </c>
      <c r="FT8" s="30">
        <v>50750</v>
      </c>
      <c r="FU8" s="30">
        <v>50750</v>
      </c>
      <c r="FV8" s="30">
        <v>50750</v>
      </c>
      <c r="FW8" s="30">
        <v>50787.5</v>
      </c>
      <c r="FX8" s="30">
        <v>50787.5</v>
      </c>
      <c r="FY8" s="30">
        <v>50787.5</v>
      </c>
      <c r="FZ8" s="30">
        <v>50787.5</v>
      </c>
      <c r="GA8" s="30">
        <v>50787.5</v>
      </c>
      <c r="GB8" s="30">
        <v>50168.75</v>
      </c>
      <c r="GC8" s="30">
        <v>48487.5</v>
      </c>
      <c r="GD8" s="30">
        <v>48112.5</v>
      </c>
      <c r="GE8" s="30">
        <v>48175</v>
      </c>
      <c r="GF8" s="30">
        <v>48175</v>
      </c>
      <c r="GG8" s="30">
        <v>47712.5</v>
      </c>
      <c r="GH8" s="30">
        <v>47300</v>
      </c>
      <c r="GI8" s="30">
        <v>47050</v>
      </c>
      <c r="GJ8" s="30">
        <v>46737.5</v>
      </c>
      <c r="GK8" s="30">
        <v>47237.5</v>
      </c>
      <c r="GL8" s="30">
        <v>47112.5</v>
      </c>
      <c r="GM8" s="30">
        <v>47456.25</v>
      </c>
      <c r="GN8" s="30">
        <v>54025</v>
      </c>
      <c r="GO8" s="30">
        <v>53193.75</v>
      </c>
      <c r="GP8" s="30">
        <v>53900</v>
      </c>
      <c r="GQ8" s="30">
        <v>53900</v>
      </c>
      <c r="GR8" s="30">
        <v>54137.5</v>
      </c>
      <c r="GS8" s="30">
        <v>54500</v>
      </c>
      <c r="GT8" s="30">
        <v>55525</v>
      </c>
      <c r="GU8" s="30">
        <v>55687.5</v>
      </c>
      <c r="GV8" s="30">
        <v>55525</v>
      </c>
      <c r="GW8" s="30">
        <v>55087.5</v>
      </c>
      <c r="GX8" s="30">
        <v>54950</v>
      </c>
      <c r="GY8" s="30">
        <v>55450</v>
      </c>
      <c r="GZ8" s="30">
        <v>55287.5</v>
      </c>
      <c r="HA8" s="30">
        <v>55287.5</v>
      </c>
      <c r="HB8" s="30">
        <v>55212.5</v>
      </c>
      <c r="HC8" s="30">
        <v>54543.75</v>
      </c>
      <c r="HD8" s="30">
        <v>54231.25</v>
      </c>
      <c r="HE8" s="30">
        <v>53706.25</v>
      </c>
      <c r="HF8" s="30">
        <v>53000</v>
      </c>
      <c r="HG8" s="30">
        <v>52475</v>
      </c>
      <c r="HH8" s="30">
        <v>53375</v>
      </c>
      <c r="HI8" s="30">
        <v>55087.5</v>
      </c>
      <c r="HJ8" s="30">
        <v>58521.428571428572</v>
      </c>
      <c r="HK8" s="30">
        <v>59035.714285714283</v>
      </c>
      <c r="HL8" s="30">
        <v>59114.285714285717</v>
      </c>
      <c r="HM8" s="30">
        <v>59114.285714285717</v>
      </c>
      <c r="HN8" s="30">
        <v>58357.142857142855</v>
      </c>
      <c r="HO8" s="30">
        <v>57428.571428571428</v>
      </c>
      <c r="HP8" s="30">
        <v>57078.571428571428</v>
      </c>
      <c r="HQ8" s="30">
        <v>56028.571428571428</v>
      </c>
      <c r="HR8" s="30">
        <v>55371.428571428572</v>
      </c>
      <c r="HS8" s="30">
        <v>54671.428571428572</v>
      </c>
      <c r="HT8" s="30">
        <v>53585.714285714283</v>
      </c>
      <c r="HU8" s="30">
        <v>53957.142857142855</v>
      </c>
      <c r="HV8" s="30">
        <v>53714.285714285717</v>
      </c>
      <c r="HW8" s="30">
        <v>53471.428571428572</v>
      </c>
      <c r="HX8" s="30">
        <v>53721.428571428572</v>
      </c>
      <c r="HY8" s="30">
        <v>54028.571428571428</v>
      </c>
      <c r="HZ8" s="30">
        <v>54642.857142857145</v>
      </c>
      <c r="IA8" s="30">
        <v>55914.285714285717</v>
      </c>
      <c r="IB8" s="30">
        <v>56257.142857142855</v>
      </c>
      <c r="IC8" s="30">
        <v>57514.285714285717</v>
      </c>
      <c r="ID8" s="30">
        <v>58557.142857142855</v>
      </c>
      <c r="IE8" s="30">
        <v>59371.428571428572</v>
      </c>
      <c r="IF8" s="30">
        <v>60500</v>
      </c>
      <c r="IG8" s="30">
        <v>61957.142857142855</v>
      </c>
      <c r="IH8" s="30">
        <v>62807.142857142855</v>
      </c>
      <c r="II8" s="30">
        <v>63942.857142857145</v>
      </c>
      <c r="IJ8" s="30">
        <v>66107.142857142855</v>
      </c>
      <c r="IK8" s="30">
        <v>67328.571428571435</v>
      </c>
      <c r="IL8" s="30">
        <v>69157.142857142855</v>
      </c>
      <c r="IM8" s="30">
        <v>70142.857142857145</v>
      </c>
      <c r="IN8" s="30">
        <v>71257.142857142855</v>
      </c>
      <c r="IO8" s="30">
        <v>71264.28571428571</v>
      </c>
      <c r="IP8" s="30">
        <v>71521.428571428565</v>
      </c>
      <c r="IQ8" s="30">
        <v>72114.28571428571</v>
      </c>
      <c r="IR8" s="30">
        <v>72271.428571428565</v>
      </c>
      <c r="IS8" s="32">
        <v>72700</v>
      </c>
      <c r="IT8" s="19">
        <v>72828.571428571435</v>
      </c>
      <c r="IU8" s="19">
        <v>73442.857142857145</v>
      </c>
      <c r="IV8">
        <v>74007.142857142855</v>
      </c>
      <c r="IW8">
        <v>75242.857142857145</v>
      </c>
      <c r="IX8">
        <v>76000</v>
      </c>
      <c r="IY8">
        <v>75942.857142857145</v>
      </c>
      <c r="IZ8">
        <v>77342.857142857145</v>
      </c>
      <c r="JA8">
        <v>77550</v>
      </c>
      <c r="JB8">
        <v>77550</v>
      </c>
      <c r="JC8">
        <v>78814.28571428571</v>
      </c>
      <c r="JD8">
        <v>79857.142857142855</v>
      </c>
      <c r="JE8">
        <v>80942.857142857145</v>
      </c>
      <c r="JF8">
        <v>82200</v>
      </c>
      <c r="JG8">
        <v>81364.28571428571</v>
      </c>
      <c r="JH8">
        <v>81285.71428571429</v>
      </c>
      <c r="JI8">
        <v>81121.428571428565</v>
      </c>
      <c r="JJ8">
        <v>80871.428571428565</v>
      </c>
      <c r="JK8">
        <v>80878.571428571435</v>
      </c>
      <c r="JL8">
        <v>81914.28571428571</v>
      </c>
      <c r="JM8">
        <v>82142.857142857145</v>
      </c>
      <c r="JN8">
        <v>83342.857142857145</v>
      </c>
      <c r="JO8">
        <v>84971.428571428565</v>
      </c>
      <c r="JP8">
        <v>85942.857142857145</v>
      </c>
      <c r="JQ8">
        <v>88314.28571428571</v>
      </c>
      <c r="JR8">
        <v>87842.857142857145</v>
      </c>
      <c r="JS8">
        <v>88000</v>
      </c>
      <c r="JT8">
        <v>88471.428571428565</v>
      </c>
      <c r="JU8">
        <v>89728.571428571435</v>
      </c>
      <c r="JV8">
        <v>92157.142857142855</v>
      </c>
      <c r="JW8">
        <v>92814.28571428571</v>
      </c>
      <c r="JX8">
        <v>93657.142857142855</v>
      </c>
      <c r="JY8">
        <v>94771.428571428565</v>
      </c>
      <c r="JZ8">
        <v>99300</v>
      </c>
    </row>
    <row r="9" spans="1:286" x14ac:dyDescent="0.25">
      <c r="A9" s="38" t="s">
        <v>23</v>
      </c>
      <c r="B9" s="30">
        <v>23054.852741496601</v>
      </c>
      <c r="C9" s="30">
        <v>23903.308843537441</v>
      </c>
      <c r="D9" s="30">
        <v>25981.512857142861</v>
      </c>
      <c r="E9" s="30">
        <v>26701.278409937895</v>
      </c>
      <c r="F9" s="30">
        <v>26982.77314285715</v>
      </c>
      <c r="G9" s="30">
        <v>27092.381935064921</v>
      </c>
      <c r="H9" s="30">
        <v>26102.713354037242</v>
      </c>
      <c r="I9" s="30">
        <v>25944.536795031065</v>
      </c>
      <c r="J9" s="30">
        <v>26400.90560248445</v>
      </c>
      <c r="K9" s="30">
        <v>27372.581742857146</v>
      </c>
      <c r="L9" s="30">
        <v>27569.000678571414</v>
      </c>
      <c r="M9" s="30">
        <v>27642.97244047618</v>
      </c>
      <c r="N9" s="30">
        <v>26894.559503759392</v>
      </c>
      <c r="O9" s="30">
        <v>28310.989740259753</v>
      </c>
      <c r="P9" s="30">
        <v>28828.551333333318</v>
      </c>
      <c r="Q9" s="30">
        <v>28884.602571428572</v>
      </c>
      <c r="R9" s="30">
        <v>28946.251099999998</v>
      </c>
      <c r="S9" s="30">
        <v>29059.111714285715</v>
      </c>
      <c r="T9" s="30">
        <v>28869.67436024846</v>
      </c>
      <c r="U9" s="30">
        <v>28840.731652173887</v>
      </c>
      <c r="V9" s="30">
        <v>28730.528062111818</v>
      </c>
      <c r="W9" s="30">
        <v>28201.18561490683</v>
      </c>
      <c r="X9" s="30">
        <v>28251.854227272735</v>
      </c>
      <c r="Y9" s="30">
        <v>28303.375714285714</v>
      </c>
      <c r="Z9" s="30">
        <v>28470.802511278172</v>
      </c>
      <c r="AA9" s="30">
        <v>28282.188054421793</v>
      </c>
      <c r="AB9" s="30">
        <v>29149.773291925441</v>
      </c>
      <c r="AC9" s="30">
        <v>29147.857558441563</v>
      </c>
      <c r="AD9" s="30">
        <v>29606.732142857141</v>
      </c>
      <c r="AE9" s="30">
        <v>30061.95413636362</v>
      </c>
      <c r="AF9" s="30">
        <v>30485.714285714286</v>
      </c>
      <c r="AG9" s="30">
        <v>31528.571428571428</v>
      </c>
      <c r="AH9" s="30">
        <v>32485.714285714286</v>
      </c>
      <c r="AI9" s="30">
        <v>33628.571428571428</v>
      </c>
      <c r="AJ9" s="30">
        <v>34657.142857142855</v>
      </c>
      <c r="AK9" s="30">
        <v>34214.285714285717</v>
      </c>
      <c r="AL9" s="30">
        <v>35057.142857142855</v>
      </c>
      <c r="AM9" s="30">
        <v>34385.714285714283</v>
      </c>
      <c r="AN9" s="30">
        <v>34500</v>
      </c>
      <c r="AO9" s="30">
        <v>38342.857142857145</v>
      </c>
      <c r="AP9" s="30">
        <v>41242.857142857145</v>
      </c>
      <c r="AQ9" s="30">
        <v>42185.714285714283</v>
      </c>
      <c r="AR9" s="30">
        <v>44371.428571428572</v>
      </c>
      <c r="AS9" s="30">
        <v>47000</v>
      </c>
      <c r="AT9" s="30">
        <v>46728.571428571428</v>
      </c>
      <c r="AU9" s="30">
        <v>47057.142857142855</v>
      </c>
      <c r="AV9" s="30">
        <v>48971.428571428572</v>
      </c>
      <c r="AW9" s="30">
        <v>48728.571428571428</v>
      </c>
      <c r="AX9" s="30">
        <v>51128.571428571428</v>
      </c>
      <c r="AY9" s="30">
        <v>52357.142857142855</v>
      </c>
      <c r="AZ9" s="30">
        <v>54914.285714285717</v>
      </c>
      <c r="BA9" s="30">
        <v>55728.571428571428</v>
      </c>
      <c r="BB9" s="30">
        <v>55914.285714285717</v>
      </c>
      <c r="BC9" s="30">
        <v>56000</v>
      </c>
      <c r="BD9" s="30">
        <v>56971.428571428572</v>
      </c>
      <c r="BE9" s="30">
        <v>64577.142857142855</v>
      </c>
      <c r="BF9" s="30">
        <v>67300</v>
      </c>
      <c r="BG9" s="30">
        <v>70042.857142857145</v>
      </c>
      <c r="BH9" s="30">
        <v>71900</v>
      </c>
      <c r="BI9" s="30">
        <v>73800</v>
      </c>
      <c r="BJ9" s="30">
        <v>75521.142857142855</v>
      </c>
      <c r="BK9" s="30">
        <v>76671.428571428565</v>
      </c>
      <c r="BL9" s="30">
        <v>78957.142857142855</v>
      </c>
      <c r="BM9" s="30">
        <v>81448.571428571435</v>
      </c>
      <c r="BN9" s="30">
        <v>83942.857142857145</v>
      </c>
      <c r="BO9" s="30">
        <v>87528.571428571435</v>
      </c>
      <c r="BP9" s="30">
        <v>90728.571428571435</v>
      </c>
      <c r="BQ9" s="30">
        <v>92400</v>
      </c>
      <c r="BR9" s="30">
        <v>93914.28571428571</v>
      </c>
      <c r="BS9" s="30">
        <v>96457.142857142855</v>
      </c>
      <c r="BT9" s="30">
        <v>98728.571428571435</v>
      </c>
      <c r="BU9" s="30">
        <v>101300</v>
      </c>
      <c r="BV9" s="30">
        <v>104142.85714285714</v>
      </c>
      <c r="BW9" s="30">
        <v>106057.14285714286</v>
      </c>
      <c r="BX9" s="30">
        <v>109271.42857142857</v>
      </c>
      <c r="BY9" s="30">
        <v>113214.28571428571</v>
      </c>
      <c r="BZ9" s="30">
        <v>116285.71428571429</v>
      </c>
      <c r="CA9" s="30">
        <v>120414.28571428571</v>
      </c>
      <c r="CB9" s="30">
        <v>123042.85714285714</v>
      </c>
      <c r="CC9" s="30">
        <v>124657.14285714286</v>
      </c>
      <c r="CD9" s="30">
        <v>125914.28571428571</v>
      </c>
      <c r="CE9" s="30">
        <v>128442.85714285714</v>
      </c>
      <c r="CF9" s="30">
        <v>130957.14285714286</v>
      </c>
      <c r="CG9" s="30">
        <v>131314.28571428571</v>
      </c>
      <c r="CH9" s="30">
        <v>123871.42857142857</v>
      </c>
      <c r="CI9" s="30">
        <v>117114.28571428571</v>
      </c>
      <c r="CJ9" s="30">
        <v>122828.57142857143</v>
      </c>
      <c r="CK9" s="30">
        <v>119485.71428571429</v>
      </c>
      <c r="CL9" s="30">
        <v>117185.71428571429</v>
      </c>
      <c r="CM9" s="30">
        <v>117728.57142857143</v>
      </c>
      <c r="CN9" s="30">
        <v>115285.71428571429</v>
      </c>
      <c r="CO9" s="30">
        <v>114028.57142857143</v>
      </c>
      <c r="CP9" s="30">
        <v>115657.14285714286</v>
      </c>
      <c r="CQ9" s="30">
        <v>116185.71428571429</v>
      </c>
      <c r="CR9" s="30">
        <v>116600</v>
      </c>
      <c r="CS9" s="30">
        <v>118400</v>
      </c>
      <c r="CT9" s="30">
        <v>118142.85714285714</v>
      </c>
      <c r="CU9" s="30">
        <v>118042.85714285714</v>
      </c>
      <c r="CV9" s="30">
        <v>118114.28571428571</v>
      </c>
      <c r="CW9" s="30">
        <v>119014.28571428571</v>
      </c>
      <c r="CX9" s="30">
        <v>119771.42857142857</v>
      </c>
      <c r="CY9" s="30">
        <v>120742.85714285714</v>
      </c>
      <c r="CZ9" s="30">
        <v>120200</v>
      </c>
      <c r="DA9" s="30">
        <v>120428.57142857143</v>
      </c>
      <c r="DB9" s="30">
        <v>119071.42857142857</v>
      </c>
      <c r="DC9" s="30">
        <v>117771.42857142857</v>
      </c>
      <c r="DD9" s="30">
        <v>116700</v>
      </c>
      <c r="DE9" s="30">
        <v>115557.14285714286</v>
      </c>
      <c r="DF9" s="30">
        <v>114914.28571428571</v>
      </c>
      <c r="DG9" s="30">
        <v>115014.28571428571</v>
      </c>
      <c r="DH9" s="30">
        <v>114100</v>
      </c>
      <c r="DI9" s="30">
        <v>113842.85714285714</v>
      </c>
      <c r="DJ9" s="30">
        <v>112542.85714285714</v>
      </c>
      <c r="DK9" s="30">
        <v>113678.57142857143</v>
      </c>
      <c r="DL9" s="30">
        <v>113728.57142857143</v>
      </c>
      <c r="DM9" s="30">
        <v>113114.28571428571</v>
      </c>
      <c r="DN9" s="30">
        <v>115871.42857142857</v>
      </c>
      <c r="DO9" s="30">
        <v>117728.57142857143</v>
      </c>
      <c r="DP9" s="30">
        <v>118985.71428571429</v>
      </c>
      <c r="DQ9" s="30">
        <v>133291.71428571429</v>
      </c>
      <c r="DR9" s="30">
        <v>132788.71428571429</v>
      </c>
      <c r="DS9" s="30">
        <v>132534</v>
      </c>
      <c r="DT9" s="30">
        <v>132100</v>
      </c>
      <c r="DU9" s="30">
        <v>132321.42857142858</v>
      </c>
      <c r="DV9" s="30">
        <v>133078.57142857142</v>
      </c>
      <c r="DW9" s="30">
        <v>133328.57142857142</v>
      </c>
      <c r="DX9" s="30">
        <v>133328.57142857142</v>
      </c>
      <c r="DY9" s="30">
        <v>133328.57142857142</v>
      </c>
      <c r="DZ9" s="30">
        <v>133528.57142857142</v>
      </c>
      <c r="EA9" s="30">
        <v>133528.57142857142</v>
      </c>
      <c r="EB9" s="30">
        <v>133642.85714285713</v>
      </c>
      <c r="EC9" s="30">
        <v>133771.42857142858</v>
      </c>
      <c r="ED9" s="30">
        <v>133871.42857142858</v>
      </c>
      <c r="EE9" s="30">
        <v>134021.42857142858</v>
      </c>
      <c r="EF9" s="30">
        <v>134528.57142857142</v>
      </c>
      <c r="EG9" s="30">
        <v>134528.57142857142</v>
      </c>
      <c r="EH9" s="30">
        <v>134671.42857142858</v>
      </c>
      <c r="EI9" s="30">
        <v>134671.42857142858</v>
      </c>
      <c r="EJ9" s="30">
        <v>134671.42857142858</v>
      </c>
      <c r="EK9" s="30">
        <v>134671.42857142858</v>
      </c>
      <c r="EL9" s="30">
        <v>134671.42857142858</v>
      </c>
      <c r="EM9" s="30">
        <v>134671.42857142858</v>
      </c>
      <c r="EN9" s="30">
        <v>135092.85714285713</v>
      </c>
      <c r="EO9" s="30">
        <v>135092.85714285713</v>
      </c>
      <c r="EP9" s="30">
        <v>135092.85714285713</v>
      </c>
      <c r="EQ9" s="30">
        <v>134707.14285714287</v>
      </c>
      <c r="ER9" s="30">
        <v>134707.14285714287</v>
      </c>
      <c r="ES9" s="30">
        <v>134707.14285714287</v>
      </c>
      <c r="ET9" s="30">
        <v>134721.42857142858</v>
      </c>
      <c r="EU9" s="30">
        <v>134721.42857142858</v>
      </c>
      <c r="EV9" s="30">
        <v>134721.42857142858</v>
      </c>
      <c r="EW9" s="30">
        <v>134721.42857142858</v>
      </c>
      <c r="EX9" s="30">
        <v>134721.42857142858</v>
      </c>
      <c r="EY9" s="30">
        <v>134735.71428571429</v>
      </c>
      <c r="EZ9" s="30">
        <v>134735.71428571429</v>
      </c>
      <c r="FA9" s="30">
        <v>134735.71428571429</v>
      </c>
      <c r="FB9" s="30">
        <v>134671.42857142858</v>
      </c>
      <c r="FC9" s="30">
        <v>134671.42857142858</v>
      </c>
      <c r="FD9" s="30">
        <v>134700</v>
      </c>
      <c r="FE9" s="30">
        <v>134700</v>
      </c>
      <c r="FF9" s="30">
        <v>134707.14285714287</v>
      </c>
      <c r="FG9" s="30">
        <v>134707.14285714287</v>
      </c>
      <c r="FH9" s="30">
        <v>134707.14285714287</v>
      </c>
      <c r="FI9" s="30">
        <v>134707.14285714287</v>
      </c>
      <c r="FJ9" s="30">
        <v>134707.14285714287</v>
      </c>
      <c r="FK9" s="30">
        <v>134707.14285714287</v>
      </c>
      <c r="FL9" s="30">
        <v>134728.57142857142</v>
      </c>
      <c r="FM9" s="30">
        <v>134728.57142857142</v>
      </c>
      <c r="FN9" s="30">
        <v>134728.57142857142</v>
      </c>
      <c r="FO9" s="30">
        <v>134771.42857142858</v>
      </c>
      <c r="FP9" s="30">
        <v>134785.71428571429</v>
      </c>
      <c r="FQ9" s="30">
        <v>134792.85714285713</v>
      </c>
      <c r="FR9" s="30">
        <v>134800</v>
      </c>
      <c r="FS9" s="30">
        <v>134807.14285714287</v>
      </c>
      <c r="FT9" s="30">
        <v>134807.14285714287</v>
      </c>
      <c r="FU9" s="30">
        <v>134807.14285714287</v>
      </c>
      <c r="FV9" s="30">
        <v>134807.14285714287</v>
      </c>
      <c r="FW9" s="30">
        <v>134814.28571428571</v>
      </c>
      <c r="FX9" s="30">
        <v>134828.57142857142</v>
      </c>
      <c r="FY9" s="30">
        <v>134828.57142857142</v>
      </c>
      <c r="FZ9" s="30">
        <v>134828.57142857142</v>
      </c>
      <c r="GA9" s="30">
        <v>134807.14285714287</v>
      </c>
      <c r="GB9" s="30">
        <v>132628.57142857142</v>
      </c>
      <c r="GC9" s="30">
        <v>128914.28571428571</v>
      </c>
      <c r="GD9" s="30">
        <v>125571.42857142857</v>
      </c>
      <c r="GE9" s="30">
        <v>126314.28571428571</v>
      </c>
      <c r="GF9" s="30">
        <v>126314.28571428571</v>
      </c>
      <c r="GG9" s="30">
        <v>126314.28571428571</v>
      </c>
      <c r="GH9" s="30">
        <v>126471.42857142857</v>
      </c>
      <c r="GI9" s="30">
        <v>126471.42857142857</v>
      </c>
      <c r="GJ9" s="30">
        <v>127171.42857142857</v>
      </c>
      <c r="GK9" s="30">
        <v>128100</v>
      </c>
      <c r="GL9" s="30">
        <v>127871.42857142857</v>
      </c>
      <c r="GM9" s="30">
        <v>128450</v>
      </c>
      <c r="GN9" s="30">
        <v>129485.71428571429</v>
      </c>
      <c r="GO9" s="30">
        <v>128557.14285714286</v>
      </c>
      <c r="GP9" s="30">
        <v>130371.42857142857</v>
      </c>
      <c r="GQ9" s="30">
        <v>131157.14285714287</v>
      </c>
      <c r="GR9" s="30">
        <v>131542.85714285713</v>
      </c>
      <c r="GS9" s="30">
        <v>132692.85714285713</v>
      </c>
      <c r="GT9" s="30">
        <v>132600</v>
      </c>
      <c r="GU9" s="30">
        <v>133285.71428571429</v>
      </c>
      <c r="GV9" s="30">
        <v>133557.14285714287</v>
      </c>
      <c r="GW9" s="30">
        <v>134142.85714285713</v>
      </c>
      <c r="GX9" s="30">
        <v>134400</v>
      </c>
      <c r="GY9" s="30">
        <v>134800</v>
      </c>
      <c r="GZ9" s="30">
        <v>135342.85714285713</v>
      </c>
      <c r="HA9" s="30">
        <v>135000</v>
      </c>
      <c r="HB9" s="30">
        <v>136114.28571428571</v>
      </c>
      <c r="HC9" s="30">
        <v>136571.42857142858</v>
      </c>
      <c r="HD9" s="30">
        <v>136857.14285714287</v>
      </c>
      <c r="HE9" s="30">
        <v>137428.57142857142</v>
      </c>
      <c r="HF9" s="30">
        <v>137928.57142857142</v>
      </c>
      <c r="HG9" s="30">
        <v>138442.85714285713</v>
      </c>
      <c r="HH9" s="30">
        <v>140514.28571428571</v>
      </c>
      <c r="HI9" s="30">
        <v>134142.85714285713</v>
      </c>
      <c r="HJ9" s="30">
        <v>142957.14285714287</v>
      </c>
      <c r="HK9" s="30">
        <v>144757.14285714287</v>
      </c>
      <c r="HL9" s="30">
        <v>145314.28571428571</v>
      </c>
      <c r="HM9" s="30">
        <v>145314.28571428571</v>
      </c>
      <c r="HN9" s="30">
        <v>144700</v>
      </c>
      <c r="HO9" s="30">
        <v>143571.42857142858</v>
      </c>
      <c r="HP9" s="30">
        <v>142528.57142857142</v>
      </c>
      <c r="HQ9" s="30">
        <v>141214.28571428571</v>
      </c>
      <c r="HR9" s="30">
        <v>142014.28571428571</v>
      </c>
      <c r="HS9" s="30">
        <v>142900</v>
      </c>
      <c r="HT9" s="30">
        <v>142085.71428571429</v>
      </c>
      <c r="HU9" s="30">
        <v>142664.28571428571</v>
      </c>
      <c r="HV9" s="30">
        <v>143285.71428571429</v>
      </c>
      <c r="HW9" s="30">
        <v>143814.28571428571</v>
      </c>
      <c r="HX9" s="30">
        <v>144285.71428571429</v>
      </c>
      <c r="HY9" s="30">
        <v>145128.57142857142</v>
      </c>
      <c r="HZ9" s="30">
        <v>145742.85714285713</v>
      </c>
      <c r="IA9" s="30">
        <v>147614.28571428571</v>
      </c>
      <c r="IB9" s="30">
        <v>148421.42857142858</v>
      </c>
      <c r="IC9" s="30">
        <v>151700</v>
      </c>
      <c r="ID9" s="30">
        <v>154850</v>
      </c>
      <c r="IE9" s="30">
        <v>157671.42857142858</v>
      </c>
      <c r="IF9" s="30">
        <v>161421.42857142858</v>
      </c>
      <c r="IG9" s="30">
        <v>164771.42857142858</v>
      </c>
      <c r="IH9" s="30">
        <v>167442.85714285713</v>
      </c>
      <c r="II9" s="30">
        <v>169542.85714285713</v>
      </c>
      <c r="IJ9" s="30">
        <v>174650</v>
      </c>
      <c r="IK9" s="30">
        <v>178071.42857142858</v>
      </c>
      <c r="IL9" s="30">
        <v>182335.71428571429</v>
      </c>
      <c r="IM9" s="30">
        <v>185635.71428571429</v>
      </c>
      <c r="IN9" s="30">
        <v>187928.57142857142</v>
      </c>
      <c r="IO9" s="30">
        <v>188000</v>
      </c>
      <c r="IP9" s="30">
        <v>190814.28571428571</v>
      </c>
      <c r="IQ9" s="30">
        <v>191985.71428571429</v>
      </c>
      <c r="IR9" s="30">
        <v>193114.28571428571</v>
      </c>
      <c r="IS9" s="32">
        <v>194457.14285714287</v>
      </c>
      <c r="IT9" s="19">
        <v>195900</v>
      </c>
      <c r="IU9" s="19">
        <v>197321.42857142858</v>
      </c>
      <c r="IV9">
        <v>200185.71428571429</v>
      </c>
      <c r="IW9">
        <v>203150</v>
      </c>
      <c r="IX9">
        <v>204914.28571428571</v>
      </c>
      <c r="IY9">
        <v>206828.57142857142</v>
      </c>
      <c r="IZ9">
        <v>208971.42857142858</v>
      </c>
      <c r="JA9">
        <v>211514.28571428571</v>
      </c>
      <c r="JB9">
        <v>214814.28571428571</v>
      </c>
      <c r="JC9">
        <v>218900</v>
      </c>
      <c r="JD9">
        <v>222171.42857142858</v>
      </c>
      <c r="JE9">
        <v>224650</v>
      </c>
      <c r="JF9">
        <v>227471.42857142858</v>
      </c>
      <c r="JG9">
        <v>230307.14285714287</v>
      </c>
      <c r="JH9">
        <v>231842.85714285713</v>
      </c>
      <c r="JI9">
        <v>233171.42857142858</v>
      </c>
      <c r="JJ9">
        <v>234321.42857142858</v>
      </c>
      <c r="JK9">
        <v>236557.14285714287</v>
      </c>
      <c r="JL9">
        <v>237907.14285714287</v>
      </c>
      <c r="JM9">
        <v>240107.14285714287</v>
      </c>
      <c r="JN9">
        <v>242671.42857142858</v>
      </c>
      <c r="JO9">
        <v>247350</v>
      </c>
      <c r="JP9">
        <v>250850</v>
      </c>
      <c r="JQ9">
        <v>251214.28571428571</v>
      </c>
      <c r="JR9">
        <v>253764.28571428571</v>
      </c>
      <c r="JS9">
        <v>259671.42857142858</v>
      </c>
      <c r="JT9">
        <v>261371.42857142858</v>
      </c>
      <c r="JU9">
        <v>265457.14285714284</v>
      </c>
      <c r="JV9">
        <v>269585.71428571426</v>
      </c>
      <c r="JW9">
        <v>276071.42857142858</v>
      </c>
      <c r="JX9">
        <v>282900</v>
      </c>
      <c r="JY9">
        <v>286757.14285714284</v>
      </c>
      <c r="JZ9">
        <v>289542.85714285716</v>
      </c>
    </row>
    <row r="10" spans="1:286" x14ac:dyDescent="0.25">
      <c r="A10" s="38" t="s">
        <v>24</v>
      </c>
      <c r="B10" s="30">
        <v>18445.493857142861</v>
      </c>
      <c r="C10" s="30">
        <v>18277.41746031748</v>
      </c>
      <c r="D10" s="30">
        <v>19661.169999999998</v>
      </c>
      <c r="E10" s="30">
        <v>19681.728217391312</v>
      </c>
      <c r="F10" s="30">
        <v>20521.953333333335</v>
      </c>
      <c r="G10" s="30">
        <v>21387.994924242408</v>
      </c>
      <c r="H10" s="30">
        <v>19648.420144927517</v>
      </c>
      <c r="I10" s="30">
        <v>19602.007043478272</v>
      </c>
      <c r="J10" s="30">
        <v>19963.299318840564</v>
      </c>
      <c r="K10" s="30">
        <v>20701.812960000003</v>
      </c>
      <c r="L10" s="30">
        <v>21033.569999999989</v>
      </c>
      <c r="M10" s="30">
        <v>21298.729319444436</v>
      </c>
      <c r="N10" s="30">
        <v>21339.071368421046</v>
      </c>
      <c r="O10" s="30">
        <v>21674.380015151532</v>
      </c>
      <c r="P10" s="30">
        <v>21903.963666666659</v>
      </c>
      <c r="Q10" s="30">
        <v>22583.423999999999</v>
      </c>
      <c r="R10" s="30">
        <v>23242.941166666667</v>
      </c>
      <c r="S10" s="30">
        <v>23466.319500000001</v>
      </c>
      <c r="T10" s="30">
        <v>23259.116289855083</v>
      </c>
      <c r="U10" s="30">
        <v>23221.799492753595</v>
      </c>
      <c r="V10" s="30">
        <v>23125.10542028987</v>
      </c>
      <c r="W10" s="30">
        <v>22704.867710144925</v>
      </c>
      <c r="X10" s="30">
        <v>22751.493227272735</v>
      </c>
      <c r="Y10" s="30">
        <v>22798.820000000003</v>
      </c>
      <c r="Z10" s="30">
        <v>22946.091736842092</v>
      </c>
      <c r="AA10" s="30">
        <v>22781.082111111129</v>
      </c>
      <c r="AB10" s="30">
        <v>23303.735999999986</v>
      </c>
      <c r="AC10" s="30">
        <v>23072.735500000006</v>
      </c>
      <c r="AD10" s="30">
        <v>23432.741599999998</v>
      </c>
      <c r="AE10" s="30">
        <v>23478.212651515143</v>
      </c>
      <c r="AF10" s="30">
        <v>23200</v>
      </c>
      <c r="AG10" s="30">
        <v>23300</v>
      </c>
      <c r="AH10" s="30">
        <v>23266.666666666668</v>
      </c>
      <c r="AI10" s="30">
        <v>23166.666666666668</v>
      </c>
      <c r="AJ10" s="30">
        <v>23033.333333333332</v>
      </c>
      <c r="AK10" s="30">
        <v>22433.333333333332</v>
      </c>
      <c r="AL10" s="30">
        <v>22733.333333333332</v>
      </c>
      <c r="AM10" s="30">
        <v>21966.666666666668</v>
      </c>
      <c r="AN10" s="30">
        <v>21800</v>
      </c>
      <c r="AO10" s="30">
        <v>23733.333333333332</v>
      </c>
      <c r="AP10" s="30">
        <v>24700</v>
      </c>
      <c r="AQ10" s="30">
        <v>25066.666666666668</v>
      </c>
      <c r="AR10" s="30">
        <v>27500</v>
      </c>
      <c r="AS10" s="30">
        <v>29166.666666666668</v>
      </c>
      <c r="AT10" s="30">
        <v>29166.666666666668</v>
      </c>
      <c r="AU10" s="30">
        <v>29366.666666666668</v>
      </c>
      <c r="AV10" s="30">
        <v>29966.666666666668</v>
      </c>
      <c r="AW10" s="30">
        <v>30266.666666666668</v>
      </c>
      <c r="AX10" s="30">
        <v>30600</v>
      </c>
      <c r="AY10" s="30">
        <v>31000</v>
      </c>
      <c r="AZ10" s="30">
        <v>32466.666666666668</v>
      </c>
      <c r="BA10" s="30">
        <v>33066.666666666664</v>
      </c>
      <c r="BB10" s="30">
        <v>32366.666666666668</v>
      </c>
      <c r="BC10" s="30">
        <v>32366.666666666668</v>
      </c>
      <c r="BD10" s="30">
        <v>33200</v>
      </c>
      <c r="BE10" s="30">
        <v>35276.666666666664</v>
      </c>
      <c r="BF10" s="30">
        <v>36400</v>
      </c>
      <c r="BG10" s="30">
        <v>38000</v>
      </c>
      <c r="BH10" s="30">
        <v>39900</v>
      </c>
      <c r="BI10" s="30">
        <v>40600</v>
      </c>
      <c r="BJ10" s="30">
        <v>41322</v>
      </c>
      <c r="BK10" s="30">
        <v>41866.666666666664</v>
      </c>
      <c r="BL10" s="30">
        <v>42466.666666666664</v>
      </c>
      <c r="BM10" s="30">
        <v>43333.333333333336</v>
      </c>
      <c r="BN10" s="30">
        <v>44600</v>
      </c>
      <c r="BO10" s="30">
        <v>46433.333333333336</v>
      </c>
      <c r="BP10" s="30">
        <v>48200</v>
      </c>
      <c r="BQ10" s="30">
        <v>48933.333333333336</v>
      </c>
      <c r="BR10" s="30">
        <v>49600</v>
      </c>
      <c r="BS10" s="30">
        <v>51200</v>
      </c>
      <c r="BT10" s="30">
        <v>52066.666666666664</v>
      </c>
      <c r="BU10" s="30">
        <v>53033.333333333336</v>
      </c>
      <c r="BV10" s="30">
        <v>54833.333333333336</v>
      </c>
      <c r="BW10" s="30">
        <v>55733.333333333336</v>
      </c>
      <c r="BX10" s="30">
        <v>56066.666666666664</v>
      </c>
      <c r="BY10" s="30">
        <v>57366.666666666664</v>
      </c>
      <c r="BZ10" s="30">
        <v>58800</v>
      </c>
      <c r="CA10" s="30">
        <v>60666.666666666664</v>
      </c>
      <c r="CB10" s="30">
        <v>62933.333333333336</v>
      </c>
      <c r="CC10" s="30">
        <v>64766.666666666664</v>
      </c>
      <c r="CD10" s="30">
        <v>66333.333333333328</v>
      </c>
      <c r="CE10" s="30">
        <v>68866.666666666672</v>
      </c>
      <c r="CF10" s="30">
        <v>71000</v>
      </c>
      <c r="CG10" s="30">
        <v>71600</v>
      </c>
      <c r="CH10" s="30">
        <v>72000</v>
      </c>
      <c r="CI10" s="30">
        <v>69866.666666666672</v>
      </c>
      <c r="CJ10" s="30">
        <v>67166.666666666672</v>
      </c>
      <c r="CK10" s="30">
        <v>63500</v>
      </c>
      <c r="CL10" s="30">
        <v>63033.333333333336</v>
      </c>
      <c r="CM10" s="30">
        <v>64366.666666666664</v>
      </c>
      <c r="CN10" s="30">
        <v>62800</v>
      </c>
      <c r="CO10" s="30">
        <v>64300</v>
      </c>
      <c r="CP10" s="30">
        <v>64800</v>
      </c>
      <c r="CQ10" s="30">
        <v>66466.666666666672</v>
      </c>
      <c r="CR10" s="30">
        <v>66966.666666666672</v>
      </c>
      <c r="CS10" s="30">
        <v>67800</v>
      </c>
      <c r="CT10" s="30">
        <v>68800</v>
      </c>
      <c r="CU10" s="30">
        <v>69800</v>
      </c>
      <c r="CV10" s="30">
        <v>70166.666666666672</v>
      </c>
      <c r="CW10" s="30">
        <v>70166.666666666672</v>
      </c>
      <c r="CX10" s="30">
        <v>70733.333333333328</v>
      </c>
      <c r="CY10" s="30">
        <v>71966.666666666672</v>
      </c>
      <c r="CZ10" s="30">
        <v>72833.333333333328</v>
      </c>
      <c r="DA10" s="30">
        <v>72366.666666666672</v>
      </c>
      <c r="DB10" s="30">
        <v>71533.333333333328</v>
      </c>
      <c r="DC10" s="30">
        <v>70966.666666666672</v>
      </c>
      <c r="DD10" s="30">
        <v>70433.333333333328</v>
      </c>
      <c r="DE10" s="30">
        <v>69733.333333333328</v>
      </c>
      <c r="DF10" s="30">
        <v>69133.333333333328</v>
      </c>
      <c r="DG10" s="30">
        <v>68933.333333333328</v>
      </c>
      <c r="DH10" s="30">
        <v>67033.333333333328</v>
      </c>
      <c r="DI10" s="30">
        <v>67700</v>
      </c>
      <c r="DJ10" s="30">
        <v>67900</v>
      </c>
      <c r="DK10" s="30">
        <v>69200</v>
      </c>
      <c r="DL10" s="30">
        <v>69066.666666666672</v>
      </c>
      <c r="DM10" s="30">
        <v>69133.333333333328</v>
      </c>
      <c r="DN10" s="30">
        <v>68566.666666666672</v>
      </c>
      <c r="DO10" s="30">
        <v>68000</v>
      </c>
      <c r="DP10" s="30">
        <v>69600</v>
      </c>
      <c r="DQ10" s="30">
        <v>66321.333333333328</v>
      </c>
      <c r="DR10" s="30">
        <v>66104.666666666672</v>
      </c>
      <c r="DS10" s="30">
        <v>66900</v>
      </c>
      <c r="DT10" s="30">
        <v>68900</v>
      </c>
      <c r="DU10" s="30">
        <v>68966.666666666672</v>
      </c>
      <c r="DV10" s="30">
        <v>69500</v>
      </c>
      <c r="DW10" s="30">
        <v>69566.666666666672</v>
      </c>
      <c r="DX10" s="30">
        <v>69866.666666666672</v>
      </c>
      <c r="DY10" s="30">
        <v>70166.666666666672</v>
      </c>
      <c r="DZ10" s="30">
        <v>70333.333333333328</v>
      </c>
      <c r="EA10" s="30">
        <v>70333.333333333328</v>
      </c>
      <c r="EB10" s="30">
        <v>70833.333333333328</v>
      </c>
      <c r="EC10" s="30">
        <v>71333.333333333328</v>
      </c>
      <c r="ED10" s="30">
        <v>71900</v>
      </c>
      <c r="EE10" s="30">
        <v>71900</v>
      </c>
      <c r="EF10" s="30">
        <v>71900</v>
      </c>
      <c r="EG10" s="30">
        <v>71900</v>
      </c>
      <c r="EH10" s="30">
        <v>71900</v>
      </c>
      <c r="EI10" s="30">
        <v>71900</v>
      </c>
      <c r="EJ10" s="30">
        <v>71900</v>
      </c>
      <c r="EK10" s="30">
        <v>71966.666666666672</v>
      </c>
      <c r="EL10" s="30">
        <v>72033.333333333328</v>
      </c>
      <c r="EM10" s="30">
        <v>72100</v>
      </c>
      <c r="EN10" s="30">
        <v>72166.666666666672</v>
      </c>
      <c r="EO10" s="30">
        <v>72166.666666666672</v>
      </c>
      <c r="EP10" s="30">
        <v>72166.666666666672</v>
      </c>
      <c r="EQ10" s="30">
        <v>72200</v>
      </c>
      <c r="ER10" s="30">
        <v>72233.333333333328</v>
      </c>
      <c r="ES10" s="30">
        <v>72233.333333333328</v>
      </c>
      <c r="ET10" s="30">
        <v>72233.333333333328</v>
      </c>
      <c r="EU10" s="30">
        <v>72233.333333333328</v>
      </c>
      <c r="EV10" s="30">
        <v>72233.333333333328</v>
      </c>
      <c r="EW10" s="30">
        <v>72233.333333333328</v>
      </c>
      <c r="EX10" s="30">
        <v>72233.333333333328</v>
      </c>
      <c r="EY10" s="30">
        <v>72233.333333333328</v>
      </c>
      <c r="EZ10" s="30">
        <v>72233.333333333328</v>
      </c>
      <c r="FA10" s="30">
        <v>72250</v>
      </c>
      <c r="FB10" s="30">
        <v>72200</v>
      </c>
      <c r="FC10" s="30">
        <v>72200</v>
      </c>
      <c r="FD10" s="30">
        <v>72200</v>
      </c>
      <c r="FE10" s="30">
        <v>72250</v>
      </c>
      <c r="FF10" s="30">
        <v>72250</v>
      </c>
      <c r="FG10" s="30">
        <v>72250</v>
      </c>
      <c r="FH10" s="30">
        <v>72283.333333333328</v>
      </c>
      <c r="FI10" s="30">
        <v>72283.333333333328</v>
      </c>
      <c r="FJ10" s="30">
        <v>72316.666666666672</v>
      </c>
      <c r="FK10" s="30">
        <v>72316.666666666672</v>
      </c>
      <c r="FL10" s="30">
        <v>72350</v>
      </c>
      <c r="FM10" s="30">
        <v>72350</v>
      </c>
      <c r="FN10" s="30">
        <v>72383.333333333328</v>
      </c>
      <c r="FO10" s="30">
        <v>72466.666666666672</v>
      </c>
      <c r="FP10" s="30">
        <v>72516.666666666672</v>
      </c>
      <c r="FQ10" s="30">
        <v>72550</v>
      </c>
      <c r="FR10" s="30">
        <v>72583.333333333328</v>
      </c>
      <c r="FS10" s="30">
        <v>72616.666666666672</v>
      </c>
      <c r="FT10" s="30">
        <v>72616.666666666672</v>
      </c>
      <c r="FU10" s="30">
        <v>72666.666666666672</v>
      </c>
      <c r="FV10" s="30">
        <v>72666.666666666672</v>
      </c>
      <c r="FW10" s="30">
        <v>72666.666666666672</v>
      </c>
      <c r="FX10" s="30">
        <v>72666.666666666672</v>
      </c>
      <c r="FY10" s="30">
        <v>72666.666666666672</v>
      </c>
      <c r="FZ10" s="30">
        <v>72666.666666666672</v>
      </c>
      <c r="GA10" s="30">
        <v>72650</v>
      </c>
      <c r="GB10" s="30">
        <v>72716.666666666672</v>
      </c>
      <c r="GC10" s="30">
        <v>70050</v>
      </c>
      <c r="GD10" s="30">
        <v>66583.333333333328</v>
      </c>
      <c r="GE10" s="30">
        <v>66300</v>
      </c>
      <c r="GF10" s="30">
        <v>66300</v>
      </c>
      <c r="GG10" s="30">
        <v>65966.666666666672</v>
      </c>
      <c r="GH10" s="30">
        <v>65300</v>
      </c>
      <c r="GI10" s="30">
        <v>64433.333333333336</v>
      </c>
      <c r="GJ10" s="30">
        <v>64433.333333333336</v>
      </c>
      <c r="GK10" s="30">
        <v>66100</v>
      </c>
      <c r="GL10" s="30">
        <v>65500</v>
      </c>
      <c r="GM10" s="30">
        <v>66583.333333333328</v>
      </c>
      <c r="GN10" s="30">
        <v>70183.333333333328</v>
      </c>
      <c r="GO10" s="30">
        <v>69716.666666666672</v>
      </c>
      <c r="GP10" s="30">
        <v>69950</v>
      </c>
      <c r="GQ10" s="30">
        <v>69833.333333333328</v>
      </c>
      <c r="GR10" s="30">
        <v>70100</v>
      </c>
      <c r="GS10" s="30">
        <v>69100</v>
      </c>
      <c r="GT10" s="30">
        <v>67500</v>
      </c>
      <c r="GU10" s="30">
        <v>66733.333333333328</v>
      </c>
      <c r="GV10" s="30">
        <v>66433.333333333328</v>
      </c>
      <c r="GW10" s="30">
        <v>67133.333333333328</v>
      </c>
      <c r="GX10" s="30">
        <v>67633.333333333328</v>
      </c>
      <c r="GY10" s="30">
        <v>67633.333333333328</v>
      </c>
      <c r="GZ10" s="30">
        <v>68100</v>
      </c>
      <c r="HA10" s="30">
        <v>68666.666666666672</v>
      </c>
      <c r="HB10" s="30">
        <v>69733.333333333328</v>
      </c>
      <c r="HC10" s="30">
        <v>69566.666666666672</v>
      </c>
      <c r="HD10" s="30">
        <v>69666.666666666672</v>
      </c>
      <c r="HE10" s="30">
        <v>69500</v>
      </c>
      <c r="HF10" s="30">
        <v>70400</v>
      </c>
      <c r="HG10" s="30">
        <v>71166.666666666672</v>
      </c>
      <c r="HH10" s="30">
        <v>71400</v>
      </c>
      <c r="HI10" s="30">
        <v>67133.333333333328</v>
      </c>
      <c r="HJ10" s="30">
        <v>72433.333333333328</v>
      </c>
      <c r="HK10" s="30">
        <v>72800</v>
      </c>
      <c r="HL10" s="30">
        <v>73433.333333333328</v>
      </c>
      <c r="HM10" s="30">
        <v>73433.333333333328</v>
      </c>
      <c r="HN10" s="30">
        <v>73433.333333333328</v>
      </c>
      <c r="HO10" s="30">
        <v>73333.333333333328</v>
      </c>
      <c r="HP10" s="30">
        <v>73333.333333333328</v>
      </c>
      <c r="HQ10" s="30">
        <v>72000</v>
      </c>
      <c r="HR10" s="30">
        <v>72433.333333333328</v>
      </c>
      <c r="HS10" s="30">
        <v>72600</v>
      </c>
      <c r="HT10" s="30">
        <v>71333.333333333328</v>
      </c>
      <c r="HU10" s="30">
        <v>71500</v>
      </c>
      <c r="HV10" s="30">
        <v>70700</v>
      </c>
      <c r="HW10" s="30">
        <v>71166.666666666672</v>
      </c>
      <c r="HX10" s="30">
        <v>71066.666666666672</v>
      </c>
      <c r="HY10" s="30">
        <v>71900</v>
      </c>
      <c r="HZ10" s="30">
        <v>72700</v>
      </c>
      <c r="IA10" s="30">
        <v>74166.666666666672</v>
      </c>
      <c r="IB10" s="30">
        <v>74666.666666666672</v>
      </c>
      <c r="IC10" s="30">
        <v>75683.333333333328</v>
      </c>
      <c r="ID10" s="30">
        <v>77033.333333333328</v>
      </c>
      <c r="IE10" s="30">
        <v>78900</v>
      </c>
      <c r="IF10" s="30">
        <v>80366.666666666672</v>
      </c>
      <c r="IG10" s="30">
        <v>82383.333333333328</v>
      </c>
      <c r="IH10" s="30">
        <v>83566.666666666672</v>
      </c>
      <c r="II10" s="30">
        <v>84133.333333333328</v>
      </c>
      <c r="IJ10" s="30">
        <v>86833.333333333328</v>
      </c>
      <c r="IK10" s="30">
        <v>89383.333333333328</v>
      </c>
      <c r="IL10" s="30">
        <v>92433.333333333328</v>
      </c>
      <c r="IM10" s="30">
        <v>94016.666666666672</v>
      </c>
      <c r="IN10" s="30">
        <v>95533.333333333328</v>
      </c>
      <c r="IO10" s="30">
        <v>95533.333333333328</v>
      </c>
      <c r="IP10" s="30">
        <v>96133.333333333328</v>
      </c>
      <c r="IQ10" s="30">
        <v>96933.333333333328</v>
      </c>
      <c r="IR10" s="30">
        <v>97650</v>
      </c>
      <c r="IS10" s="32">
        <v>98066.666666666672</v>
      </c>
      <c r="IT10" s="19">
        <v>97733.333333333328</v>
      </c>
      <c r="IU10" s="19">
        <v>98433.333333333328</v>
      </c>
      <c r="IV10">
        <v>99533.333333333328</v>
      </c>
      <c r="IW10">
        <v>99833.333333333328</v>
      </c>
      <c r="IX10">
        <v>100083.33333333333</v>
      </c>
      <c r="IY10">
        <v>100766.66666666667</v>
      </c>
      <c r="IZ10">
        <v>102100</v>
      </c>
      <c r="JA10">
        <v>103500</v>
      </c>
      <c r="JB10">
        <v>104233.33333333333</v>
      </c>
      <c r="JC10">
        <v>106433.33333333333</v>
      </c>
      <c r="JD10">
        <v>107733.33333333333</v>
      </c>
      <c r="JE10">
        <v>108700</v>
      </c>
      <c r="JF10">
        <v>110750</v>
      </c>
      <c r="JG10">
        <v>112633.33333333333</v>
      </c>
      <c r="JH10">
        <v>111666.66666666667</v>
      </c>
      <c r="JI10">
        <v>112566.66666666667</v>
      </c>
      <c r="JJ10">
        <v>112000</v>
      </c>
      <c r="JK10">
        <v>112900</v>
      </c>
      <c r="JL10">
        <v>113433.33333333333</v>
      </c>
      <c r="JM10">
        <v>114800</v>
      </c>
      <c r="JN10">
        <v>117200</v>
      </c>
      <c r="JO10">
        <v>121433.33333333333</v>
      </c>
      <c r="JP10">
        <v>122733.33333333333</v>
      </c>
      <c r="JQ10">
        <v>124200</v>
      </c>
      <c r="JR10">
        <v>122700</v>
      </c>
      <c r="JS10">
        <v>125700</v>
      </c>
      <c r="JT10">
        <v>125700</v>
      </c>
      <c r="JU10">
        <v>128500</v>
      </c>
      <c r="JV10">
        <v>133033.33333333334</v>
      </c>
      <c r="JW10">
        <v>135766.66666666666</v>
      </c>
      <c r="JX10">
        <v>137333.33333333334</v>
      </c>
      <c r="JY10">
        <v>138166.66666666666</v>
      </c>
      <c r="JZ10">
        <v>138666.66666666666</v>
      </c>
    </row>
    <row r="11" spans="1:286" x14ac:dyDescent="0.25">
      <c r="A11" s="38" t="s">
        <v>25</v>
      </c>
      <c r="B11" s="30">
        <v>12367.506202380955</v>
      </c>
      <c r="C11" s="30">
        <v>12563.369166666678</v>
      </c>
      <c r="D11" s="30">
        <v>12385.965</v>
      </c>
      <c r="E11" s="30">
        <v>12534.812706521743</v>
      </c>
      <c r="F11" s="30">
        <v>12719.739000000001</v>
      </c>
      <c r="G11" s="30">
        <v>13079.581511363627</v>
      </c>
      <c r="H11" s="30">
        <v>13053.377010869553</v>
      </c>
      <c r="I11" s="30">
        <v>13095.9277826087</v>
      </c>
      <c r="J11" s="30">
        <v>13363.744902173903</v>
      </c>
      <c r="K11" s="30">
        <v>13970.81619</v>
      </c>
      <c r="L11" s="30">
        <v>14051.593291666661</v>
      </c>
      <c r="M11" s="30">
        <v>14088.729458333326</v>
      </c>
      <c r="N11" s="30">
        <v>14319.3331368421</v>
      </c>
      <c r="O11" s="30">
        <v>14658.056818181829</v>
      </c>
      <c r="P11" s="30">
        <v>15019.860799999991</v>
      </c>
      <c r="Q11" s="30">
        <v>15067.378200000001</v>
      </c>
      <c r="R11" s="30">
        <v>15117.6777</v>
      </c>
      <c r="S11" s="30">
        <v>15133.142700000002</v>
      </c>
      <c r="T11" s="30">
        <v>15021.834573913051</v>
      </c>
      <c r="U11" s="30">
        <v>14996.850095652157</v>
      </c>
      <c r="V11" s="30">
        <v>14978.630834782618</v>
      </c>
      <c r="W11" s="30">
        <v>14694.259582608694</v>
      </c>
      <c r="X11" s="30">
        <v>14723.546981818188</v>
      </c>
      <c r="Y11" s="30">
        <v>14753.285999999998</v>
      </c>
      <c r="Z11" s="30">
        <v>14722.636894736832</v>
      </c>
      <c r="AA11" s="30">
        <v>14654.387253968265</v>
      </c>
      <c r="AB11" s="30">
        <v>15104.273333333322</v>
      </c>
      <c r="AC11" s="30">
        <v>15044.611522727277</v>
      </c>
      <c r="AD11" s="30">
        <v>15594.194783333332</v>
      </c>
      <c r="AE11" s="30">
        <v>15618.90362878787</v>
      </c>
      <c r="AF11" s="30">
        <v>15350</v>
      </c>
      <c r="AG11" s="30">
        <v>15300</v>
      </c>
      <c r="AH11" s="30">
        <v>15166.666666666666</v>
      </c>
      <c r="AI11" s="30">
        <v>15066.666666666666</v>
      </c>
      <c r="AJ11" s="30">
        <v>15400</v>
      </c>
      <c r="AK11" s="30">
        <v>15066.666666666666</v>
      </c>
      <c r="AL11" s="30">
        <v>14114.285714285714</v>
      </c>
      <c r="AM11" s="30">
        <v>13600</v>
      </c>
      <c r="AN11" s="30">
        <v>13528.571428571429</v>
      </c>
      <c r="AO11" s="30">
        <v>18585.714285714286</v>
      </c>
      <c r="AP11" s="30">
        <v>19557.142857142859</v>
      </c>
      <c r="AQ11" s="30">
        <v>20200</v>
      </c>
      <c r="AR11" s="30">
        <v>21628.571428571428</v>
      </c>
      <c r="AS11" s="30">
        <v>23257.142857142859</v>
      </c>
      <c r="AT11" s="30">
        <v>23242.857142857141</v>
      </c>
      <c r="AU11" s="30">
        <v>23585.714285714286</v>
      </c>
      <c r="AV11" s="30">
        <v>24600</v>
      </c>
      <c r="AW11" s="30">
        <v>24171.428571428572</v>
      </c>
      <c r="AX11" s="30">
        <v>25628.571428571428</v>
      </c>
      <c r="AY11" s="30">
        <v>26657.142857142859</v>
      </c>
      <c r="AZ11" s="30">
        <v>27357.142857142859</v>
      </c>
      <c r="BA11" s="30">
        <v>27700</v>
      </c>
      <c r="BB11" s="30">
        <v>28585.714285714286</v>
      </c>
      <c r="BC11" s="30">
        <v>28628.571428571428</v>
      </c>
      <c r="BD11" s="30">
        <v>29261.428571428572</v>
      </c>
      <c r="BE11" s="30">
        <v>31842.857142857141</v>
      </c>
      <c r="BF11" s="30">
        <v>34171.428571428572</v>
      </c>
      <c r="BG11" s="30">
        <v>34971.428571428572</v>
      </c>
      <c r="BH11" s="30">
        <v>36071.428571428572</v>
      </c>
      <c r="BI11" s="30">
        <v>36742.857142857145</v>
      </c>
      <c r="BJ11" s="30">
        <v>37142.857142857145</v>
      </c>
      <c r="BK11" s="30">
        <v>37600</v>
      </c>
      <c r="BL11" s="30">
        <v>38471.428571428572</v>
      </c>
      <c r="BM11" s="30">
        <v>39385.714285714283</v>
      </c>
      <c r="BN11" s="30">
        <v>40257.142857142855</v>
      </c>
      <c r="BO11" s="30">
        <v>41071.428571428572</v>
      </c>
      <c r="BP11" s="30">
        <v>42628.571428571428</v>
      </c>
      <c r="BQ11" s="30">
        <v>43800</v>
      </c>
      <c r="BR11" s="30">
        <v>44514.285714285717</v>
      </c>
      <c r="BS11" s="30">
        <v>45828.571428571428</v>
      </c>
      <c r="BT11" s="30">
        <v>47042.857142857145</v>
      </c>
      <c r="BU11" s="30">
        <v>48642.857142857145</v>
      </c>
      <c r="BV11" s="30">
        <v>50157.142857142855</v>
      </c>
      <c r="BW11" s="30">
        <v>52014.285714285717</v>
      </c>
      <c r="BX11" s="30">
        <v>52957.142857142855</v>
      </c>
      <c r="BY11" s="30">
        <v>54657.142857142855</v>
      </c>
      <c r="BZ11" s="30">
        <v>56000</v>
      </c>
      <c r="CA11" s="30">
        <v>57328.571428571428</v>
      </c>
      <c r="CB11" s="30">
        <v>58542.857142857145</v>
      </c>
      <c r="CC11" s="30">
        <v>60371.428571428572</v>
      </c>
      <c r="CD11" s="30">
        <v>62000</v>
      </c>
      <c r="CE11" s="30">
        <v>63242.857142857145</v>
      </c>
      <c r="CF11" s="30">
        <v>64328.571428571428</v>
      </c>
      <c r="CG11" s="30">
        <v>64985.714285714283</v>
      </c>
      <c r="CH11" s="30">
        <v>64600</v>
      </c>
      <c r="CI11" s="30">
        <v>63657.142857142855</v>
      </c>
      <c r="CJ11" s="30">
        <v>70514.28571428571</v>
      </c>
      <c r="CK11" s="30">
        <v>69585.71428571429</v>
      </c>
      <c r="CL11" s="30">
        <v>67814.28571428571</v>
      </c>
      <c r="CM11" s="30">
        <v>68071.428571428565</v>
      </c>
      <c r="CN11" s="30">
        <v>67842.857142857145</v>
      </c>
      <c r="CO11" s="30">
        <v>67542.857142857145</v>
      </c>
      <c r="CP11" s="30">
        <v>67671.428571428565</v>
      </c>
      <c r="CQ11" s="30">
        <v>68142.857142857145</v>
      </c>
      <c r="CR11" s="30">
        <v>68371.428571428565</v>
      </c>
      <c r="CS11" s="30">
        <v>68400</v>
      </c>
      <c r="CT11" s="30">
        <v>67914.28571428571</v>
      </c>
      <c r="CU11" s="30">
        <v>67785.71428571429</v>
      </c>
      <c r="CV11" s="30">
        <v>68714.28571428571</v>
      </c>
      <c r="CW11" s="30">
        <v>68457.142857142855</v>
      </c>
      <c r="CX11" s="30">
        <v>68557.142857142855</v>
      </c>
      <c r="CY11" s="30">
        <v>69028.571428571435</v>
      </c>
      <c r="CZ11" s="30">
        <v>69085.71428571429</v>
      </c>
      <c r="DA11" s="30">
        <v>69942.857142857145</v>
      </c>
      <c r="DB11" s="30">
        <v>70457.142857142855</v>
      </c>
      <c r="DC11" s="30">
        <v>70228.571428571435</v>
      </c>
      <c r="DD11" s="30">
        <v>70542.857142857145</v>
      </c>
      <c r="DE11" s="30">
        <v>69942.857142857145</v>
      </c>
      <c r="DF11" s="30">
        <v>69885.71428571429</v>
      </c>
      <c r="DG11" s="30">
        <v>69957.142857142855</v>
      </c>
      <c r="DH11" s="30">
        <v>70428.571428571435</v>
      </c>
      <c r="DI11" s="30">
        <v>70985.71428571429</v>
      </c>
      <c r="DJ11" s="30">
        <v>71700</v>
      </c>
      <c r="DK11" s="30">
        <v>71971.428571428565</v>
      </c>
      <c r="DL11" s="30">
        <v>72171.428571428565</v>
      </c>
      <c r="DM11" s="30">
        <v>72442.857142857145</v>
      </c>
      <c r="DN11" s="30">
        <v>72314.28571428571</v>
      </c>
      <c r="DO11" s="30">
        <v>71214.28571428571</v>
      </c>
      <c r="DP11" s="30">
        <v>71685.71428571429</v>
      </c>
      <c r="DQ11" s="30">
        <v>72531.71428571429</v>
      </c>
      <c r="DR11" s="30">
        <v>72504</v>
      </c>
      <c r="DS11" s="30">
        <v>71042.857142857145</v>
      </c>
      <c r="DT11" s="30">
        <v>69692.857142857145</v>
      </c>
      <c r="DU11" s="30">
        <v>69535.71428571429</v>
      </c>
      <c r="DV11" s="30">
        <v>70121.428571428565</v>
      </c>
      <c r="DW11" s="30">
        <v>71092.857142857145</v>
      </c>
      <c r="DX11" s="30">
        <v>71285.71428571429</v>
      </c>
      <c r="DY11" s="30">
        <v>72014.28571428571</v>
      </c>
      <c r="DZ11" s="30">
        <v>72378.571428571435</v>
      </c>
      <c r="EA11" s="30">
        <v>72800</v>
      </c>
      <c r="EB11" s="30">
        <v>73314.28571428571</v>
      </c>
      <c r="EC11" s="30">
        <v>73857.142857142855</v>
      </c>
      <c r="ED11" s="30">
        <v>74150</v>
      </c>
      <c r="EE11" s="30">
        <v>74614.28571428571</v>
      </c>
      <c r="EF11" s="30">
        <v>75185.71428571429</v>
      </c>
      <c r="EG11" s="30">
        <v>76078.571428571435</v>
      </c>
      <c r="EH11" s="30">
        <v>76078.571428571435</v>
      </c>
      <c r="EI11" s="30">
        <v>76078.571428571435</v>
      </c>
      <c r="EJ11" s="30">
        <v>60521.428571428572</v>
      </c>
      <c r="EK11" s="30">
        <v>76221.428571428565</v>
      </c>
      <c r="EL11" s="30">
        <v>76300</v>
      </c>
      <c r="EM11" s="30">
        <v>76421.428571428565</v>
      </c>
      <c r="EN11" s="30">
        <v>76500</v>
      </c>
      <c r="EO11" s="30">
        <v>76500</v>
      </c>
      <c r="EP11" s="30">
        <v>76500</v>
      </c>
      <c r="EQ11" s="30">
        <v>76535.71428571429</v>
      </c>
      <c r="ER11" s="30">
        <v>76535.71428571429</v>
      </c>
      <c r="ES11" s="30">
        <v>76585.71428571429</v>
      </c>
      <c r="ET11" s="30">
        <v>76585.71428571429</v>
      </c>
      <c r="EU11" s="30">
        <v>76585.71428571429</v>
      </c>
      <c r="EV11" s="30">
        <v>76671.428571428565</v>
      </c>
      <c r="EW11" s="30">
        <v>76700</v>
      </c>
      <c r="EX11" s="30">
        <v>76700</v>
      </c>
      <c r="EY11" s="30">
        <v>76757.142857142855</v>
      </c>
      <c r="EZ11" s="30">
        <v>76757.142857142855</v>
      </c>
      <c r="FA11" s="30">
        <v>76842.857142857145</v>
      </c>
      <c r="FB11" s="30">
        <v>76778.571428571435</v>
      </c>
      <c r="FC11" s="30">
        <v>77064.28571428571</v>
      </c>
      <c r="FD11" s="30">
        <v>77107.142857142855</v>
      </c>
      <c r="FE11" s="30">
        <v>77128.571428571435</v>
      </c>
      <c r="FF11" s="30">
        <v>77250</v>
      </c>
      <c r="FG11" s="30">
        <v>77264.28571428571</v>
      </c>
      <c r="FH11" s="30">
        <v>77278.571428571435</v>
      </c>
      <c r="FI11" s="30">
        <v>77321.428571428565</v>
      </c>
      <c r="FJ11" s="30">
        <v>77350</v>
      </c>
      <c r="FK11" s="30">
        <v>77378.571428571435</v>
      </c>
      <c r="FL11" s="30">
        <v>77457.142857142855</v>
      </c>
      <c r="FM11" s="30">
        <v>77528.571428571435</v>
      </c>
      <c r="FN11" s="30">
        <v>77550</v>
      </c>
      <c r="FO11" s="30">
        <v>77642.857142857145</v>
      </c>
      <c r="FP11" s="30">
        <v>77707.142857142855</v>
      </c>
      <c r="FQ11" s="30">
        <v>77735.71428571429</v>
      </c>
      <c r="FR11" s="30">
        <v>77735.71428571429</v>
      </c>
      <c r="FS11" s="30">
        <v>77828.571428571435</v>
      </c>
      <c r="FT11" s="30">
        <v>77828.571428571435</v>
      </c>
      <c r="FU11" s="30">
        <v>77900</v>
      </c>
      <c r="FV11" s="30">
        <v>77942.857142857145</v>
      </c>
      <c r="FW11" s="30">
        <v>78042.857142857145</v>
      </c>
      <c r="FX11" s="30">
        <v>78085.71428571429</v>
      </c>
      <c r="FY11" s="30">
        <v>78135.71428571429</v>
      </c>
      <c r="FZ11" s="30">
        <v>83175</v>
      </c>
      <c r="GA11" s="30">
        <v>83216.666666666672</v>
      </c>
      <c r="GB11" s="30">
        <v>83266.666666666672</v>
      </c>
      <c r="GC11" s="30">
        <v>83200</v>
      </c>
      <c r="GD11" s="30">
        <v>83916.666666666672</v>
      </c>
      <c r="GE11" s="30">
        <v>83833.333333333328</v>
      </c>
      <c r="GF11" s="30">
        <v>84116.666666666672</v>
      </c>
      <c r="GG11" s="30">
        <v>84316.666666666672</v>
      </c>
      <c r="GH11" s="30">
        <v>85000</v>
      </c>
      <c r="GI11" s="30">
        <v>85000</v>
      </c>
      <c r="GJ11" s="30">
        <v>85450</v>
      </c>
      <c r="GK11" s="30">
        <v>85450</v>
      </c>
      <c r="GL11" s="30">
        <v>86283.333333333328</v>
      </c>
      <c r="GM11" s="30">
        <v>85983.333333333328</v>
      </c>
      <c r="GN11" s="30">
        <v>90608.333333333328</v>
      </c>
      <c r="GO11" s="30">
        <v>90433.333333333328</v>
      </c>
      <c r="GP11" s="30">
        <v>91325</v>
      </c>
      <c r="GQ11" s="30">
        <v>91383.333333333328</v>
      </c>
      <c r="GR11" s="30">
        <v>91550</v>
      </c>
      <c r="GS11" s="30">
        <v>91683.333333333328</v>
      </c>
      <c r="GT11" s="30">
        <v>92591.666666666672</v>
      </c>
      <c r="GU11" s="30">
        <v>92083.333333333328</v>
      </c>
      <c r="GV11" s="30">
        <v>92600</v>
      </c>
      <c r="GW11" s="30">
        <v>92900</v>
      </c>
      <c r="GX11" s="30">
        <v>93283.333333333328</v>
      </c>
      <c r="GY11" s="30">
        <v>93633.333333333328</v>
      </c>
      <c r="GZ11" s="30">
        <v>93633.333333333328</v>
      </c>
      <c r="HA11" s="30">
        <v>94400</v>
      </c>
      <c r="HB11" s="30">
        <v>94133.333333333328</v>
      </c>
      <c r="HC11" s="30">
        <v>94266.666666666672</v>
      </c>
      <c r="HD11" s="30">
        <v>94516.666666666672</v>
      </c>
      <c r="HE11" s="30">
        <v>94833.333333333328</v>
      </c>
      <c r="HF11" s="30">
        <v>95216.666666666672</v>
      </c>
      <c r="HG11" s="30">
        <v>95483.333333333328</v>
      </c>
      <c r="HH11" s="30">
        <v>96016.666666666672</v>
      </c>
      <c r="HI11" s="30">
        <v>92900</v>
      </c>
      <c r="HJ11" s="30">
        <v>111540</v>
      </c>
      <c r="HK11" s="30">
        <v>112460</v>
      </c>
      <c r="HL11" s="30">
        <v>113360</v>
      </c>
      <c r="HM11" s="30">
        <v>113360</v>
      </c>
      <c r="HN11" s="30">
        <v>112400</v>
      </c>
      <c r="HO11" s="30">
        <v>111800</v>
      </c>
      <c r="HP11" s="30">
        <v>110440</v>
      </c>
      <c r="HQ11" s="30">
        <v>111360</v>
      </c>
      <c r="HR11" s="30">
        <v>110300</v>
      </c>
      <c r="HS11" s="30">
        <v>109520</v>
      </c>
      <c r="HT11" s="30">
        <v>107940</v>
      </c>
      <c r="HU11" s="30">
        <v>106300</v>
      </c>
      <c r="HV11" s="30">
        <v>105500</v>
      </c>
      <c r="HW11" s="30">
        <v>105020</v>
      </c>
      <c r="HX11" s="30">
        <v>104480</v>
      </c>
      <c r="HY11" s="30">
        <v>103660</v>
      </c>
      <c r="HZ11" s="30">
        <v>104020</v>
      </c>
      <c r="IA11" s="30">
        <v>105560</v>
      </c>
      <c r="IB11" s="30">
        <v>106170</v>
      </c>
      <c r="IC11" s="30">
        <v>107580</v>
      </c>
      <c r="ID11" s="30">
        <v>108540</v>
      </c>
      <c r="IE11" s="30">
        <v>108820</v>
      </c>
      <c r="IF11" s="30">
        <v>109730</v>
      </c>
      <c r="IG11" s="30">
        <v>111450</v>
      </c>
      <c r="IH11" s="30">
        <v>112560</v>
      </c>
      <c r="II11" s="30">
        <v>113430</v>
      </c>
      <c r="IJ11" s="30">
        <v>115460</v>
      </c>
      <c r="IK11" s="30">
        <v>117440</v>
      </c>
      <c r="IL11" s="30">
        <v>120720</v>
      </c>
      <c r="IM11" s="30">
        <v>122300</v>
      </c>
      <c r="IN11" s="30">
        <v>124050</v>
      </c>
      <c r="IO11" s="30">
        <v>123690</v>
      </c>
      <c r="IP11" s="30">
        <v>124540</v>
      </c>
      <c r="IQ11" s="30">
        <v>125460</v>
      </c>
      <c r="IR11" s="30">
        <v>125640</v>
      </c>
      <c r="IS11" s="32">
        <v>126840</v>
      </c>
      <c r="IT11" s="19">
        <v>127970</v>
      </c>
      <c r="IU11" s="19">
        <v>128960</v>
      </c>
      <c r="IV11">
        <v>131230</v>
      </c>
      <c r="IW11">
        <v>132880</v>
      </c>
      <c r="IX11">
        <v>134940</v>
      </c>
      <c r="IY11">
        <v>137140</v>
      </c>
      <c r="IZ11">
        <v>139660</v>
      </c>
      <c r="JA11">
        <v>141740</v>
      </c>
      <c r="JB11">
        <v>144790</v>
      </c>
      <c r="JC11">
        <v>148060</v>
      </c>
      <c r="JD11">
        <v>149580</v>
      </c>
      <c r="JE11">
        <v>151120</v>
      </c>
      <c r="JF11">
        <v>152000</v>
      </c>
      <c r="JG11">
        <v>153320</v>
      </c>
      <c r="JH11">
        <v>154720</v>
      </c>
      <c r="JI11">
        <v>155000</v>
      </c>
      <c r="JJ11">
        <v>155240</v>
      </c>
      <c r="JK11">
        <v>156260</v>
      </c>
      <c r="JL11">
        <v>156580</v>
      </c>
      <c r="JM11">
        <v>159040</v>
      </c>
      <c r="JN11">
        <v>161700</v>
      </c>
      <c r="JO11">
        <v>164920</v>
      </c>
      <c r="JP11">
        <v>168320</v>
      </c>
      <c r="JQ11">
        <v>170520</v>
      </c>
      <c r="JR11">
        <v>173300</v>
      </c>
      <c r="JS11">
        <v>176980</v>
      </c>
      <c r="JT11">
        <v>176600</v>
      </c>
      <c r="JU11">
        <v>180540</v>
      </c>
      <c r="JV11">
        <v>181860</v>
      </c>
      <c r="JW11">
        <v>185000</v>
      </c>
      <c r="JX11">
        <v>187900</v>
      </c>
      <c r="JY11">
        <v>190140</v>
      </c>
      <c r="JZ11">
        <v>191320</v>
      </c>
    </row>
    <row r="12" spans="1:286" x14ac:dyDescent="0.25">
      <c r="A12" s="38" t="s">
        <v>26</v>
      </c>
      <c r="B12" s="30">
        <v>18708.732301587308</v>
      </c>
      <c r="C12" s="30">
        <v>18786.170317460335</v>
      </c>
      <c r="D12" s="30">
        <v>21091.42</v>
      </c>
      <c r="E12" s="30">
        <v>21185.327434782619</v>
      </c>
      <c r="F12" s="30">
        <v>21722.294000000005</v>
      </c>
      <c r="G12" s="30">
        <v>21813.819257575746</v>
      </c>
      <c r="H12" s="30">
        <v>21345.500579710129</v>
      </c>
      <c r="I12" s="30">
        <v>21165.699913043489</v>
      </c>
      <c r="J12" s="30">
        <v>21449.727826086939</v>
      </c>
      <c r="K12" s="30">
        <v>22155.591960000002</v>
      </c>
      <c r="L12" s="30">
        <v>22280.003777777765</v>
      </c>
      <c r="M12" s="30">
        <v>22428.945513888877</v>
      </c>
      <c r="N12" s="30">
        <v>22816.092701754376</v>
      </c>
      <c r="O12" s="30">
        <v>23452.890909090929</v>
      </c>
      <c r="P12" s="30">
        <v>23478.372555555547</v>
      </c>
      <c r="Q12" s="30">
        <v>23838.058666666668</v>
      </c>
      <c r="R12" s="30">
        <v>23985.152733333332</v>
      </c>
      <c r="S12" s="30">
        <v>23992.995000000006</v>
      </c>
      <c r="T12" s="30">
        <v>23780.707768115954</v>
      </c>
      <c r="U12" s="30">
        <v>23742.121971014469</v>
      </c>
      <c r="V12" s="30">
        <v>23642.402724637694</v>
      </c>
      <c r="W12" s="30">
        <v>23193.548637681157</v>
      </c>
      <c r="X12" s="30">
        <v>23221.954212121218</v>
      </c>
      <c r="Y12" s="30">
        <v>23251.028000000002</v>
      </c>
      <c r="Z12" s="30">
        <v>23400.844999999983</v>
      </c>
      <c r="AA12" s="30">
        <v>23251.376952380971</v>
      </c>
      <c r="AB12" s="30">
        <v>23153.631420289836</v>
      </c>
      <c r="AC12" s="30">
        <v>22905.676272727276</v>
      </c>
      <c r="AD12" s="30">
        <v>22732.706866666664</v>
      </c>
      <c r="AE12" s="30">
        <v>22408.5489090909</v>
      </c>
      <c r="AF12" s="30">
        <v>22859.066666666666</v>
      </c>
      <c r="AG12" s="30">
        <v>23766.666666666668</v>
      </c>
      <c r="AH12" s="30">
        <v>24800</v>
      </c>
      <c r="AI12" s="30">
        <v>25933.333333333332</v>
      </c>
      <c r="AJ12" s="30">
        <v>27233.333333333332</v>
      </c>
      <c r="AK12" s="30">
        <v>26800</v>
      </c>
      <c r="AL12" s="30">
        <v>27433.333333333332</v>
      </c>
      <c r="AM12" s="30">
        <v>26633.333333333332</v>
      </c>
      <c r="AN12" s="30">
        <v>26666.666666666668</v>
      </c>
      <c r="AO12" s="30">
        <v>30133.333333333332</v>
      </c>
      <c r="AP12" s="30">
        <v>31800</v>
      </c>
      <c r="AQ12" s="30">
        <v>32333.333333333332</v>
      </c>
      <c r="AR12" s="30">
        <v>34866.666666666664</v>
      </c>
      <c r="AS12" s="30">
        <v>37800</v>
      </c>
      <c r="AT12" s="30">
        <v>37900</v>
      </c>
      <c r="AU12" s="30">
        <v>38300</v>
      </c>
      <c r="AV12" s="30">
        <v>40000</v>
      </c>
      <c r="AW12" s="30">
        <v>39933.333333333336</v>
      </c>
      <c r="AX12" s="30">
        <v>42433.333333333336</v>
      </c>
      <c r="AY12" s="30">
        <v>44400</v>
      </c>
      <c r="AZ12" s="30">
        <v>46366.666666666664</v>
      </c>
      <c r="BA12" s="30">
        <v>47633.333333333336</v>
      </c>
      <c r="BB12" s="30">
        <v>48500</v>
      </c>
      <c r="BC12" s="30">
        <v>48566.666666666664</v>
      </c>
      <c r="BD12" s="30">
        <v>49566.666666666664</v>
      </c>
      <c r="BE12" s="30">
        <v>57626.666666666664</v>
      </c>
      <c r="BF12" s="30">
        <v>59433.333333333336</v>
      </c>
      <c r="BG12" s="30">
        <v>63200</v>
      </c>
      <c r="BH12" s="30">
        <v>64466.666666666664</v>
      </c>
      <c r="BI12" s="30">
        <v>69000</v>
      </c>
      <c r="BJ12" s="30">
        <v>69800</v>
      </c>
      <c r="BK12" s="30">
        <v>70333.333333333328</v>
      </c>
      <c r="BL12" s="30">
        <v>72000</v>
      </c>
      <c r="BM12" s="30">
        <v>75100</v>
      </c>
      <c r="BN12" s="30">
        <v>76166.666666666672</v>
      </c>
      <c r="BO12" s="30">
        <v>78100</v>
      </c>
      <c r="BP12" s="30">
        <v>81866.666666666672</v>
      </c>
      <c r="BQ12" s="30">
        <v>85333.333333333328</v>
      </c>
      <c r="BR12" s="30">
        <v>86433.333333333328</v>
      </c>
      <c r="BS12" s="30">
        <v>88400</v>
      </c>
      <c r="BT12" s="30">
        <v>90466.666666666672</v>
      </c>
      <c r="BU12" s="30">
        <v>91033.333333333328</v>
      </c>
      <c r="BV12" s="30">
        <v>92200</v>
      </c>
      <c r="BW12" s="30">
        <v>94000</v>
      </c>
      <c r="BX12" s="30">
        <v>94800</v>
      </c>
      <c r="BY12" s="30">
        <v>97266.666666666672</v>
      </c>
      <c r="BZ12" s="30">
        <v>98200</v>
      </c>
      <c r="CA12" s="30">
        <v>99266.666666666672</v>
      </c>
      <c r="CB12" s="30">
        <v>99866.666666666672</v>
      </c>
      <c r="CC12" s="30">
        <v>103433.33333333333</v>
      </c>
      <c r="CD12" s="30">
        <v>106033.33333333333</v>
      </c>
      <c r="CE12" s="30">
        <v>110266.66666666667</v>
      </c>
      <c r="CF12" s="30">
        <v>111833.33333333333</v>
      </c>
      <c r="CG12" s="30">
        <v>111833.33333333333</v>
      </c>
      <c r="CH12" s="30">
        <v>111833.33333333333</v>
      </c>
      <c r="CI12" s="30">
        <v>103900</v>
      </c>
      <c r="CJ12" s="30">
        <v>106733.33333333333</v>
      </c>
      <c r="CK12" s="30">
        <v>103700</v>
      </c>
      <c r="CL12" s="30">
        <v>97100</v>
      </c>
      <c r="CM12" s="30">
        <v>98133.333333333328</v>
      </c>
      <c r="CN12" s="30">
        <v>97033.333333333328</v>
      </c>
      <c r="CO12" s="30">
        <v>98400</v>
      </c>
      <c r="CP12" s="30">
        <v>97166.666666666672</v>
      </c>
      <c r="CQ12" s="30">
        <v>97700</v>
      </c>
      <c r="CR12" s="30">
        <v>96200</v>
      </c>
      <c r="CS12" s="30">
        <v>96200</v>
      </c>
      <c r="CT12" s="30">
        <v>96000</v>
      </c>
      <c r="CU12" s="30">
        <v>97333.333333333328</v>
      </c>
      <c r="CV12" s="30">
        <v>96666.666666666672</v>
      </c>
      <c r="CW12" s="30">
        <v>97700</v>
      </c>
      <c r="CX12" s="30">
        <v>97700</v>
      </c>
      <c r="CY12" s="30">
        <v>99000</v>
      </c>
      <c r="CZ12" s="30">
        <v>99766.666666666672</v>
      </c>
      <c r="DA12" s="30">
        <v>100366.66666666667</v>
      </c>
      <c r="DB12" s="30">
        <v>101166.66666666667</v>
      </c>
      <c r="DC12" s="30">
        <v>101166.66666666667</v>
      </c>
      <c r="DD12" s="30">
        <v>101300</v>
      </c>
      <c r="DE12" s="30">
        <v>101233.33333333333</v>
      </c>
      <c r="DF12" s="30">
        <v>101300</v>
      </c>
      <c r="DG12" s="30">
        <v>101300</v>
      </c>
      <c r="DH12" s="30">
        <v>102266.66666666667</v>
      </c>
      <c r="DI12" s="30">
        <v>103300</v>
      </c>
      <c r="DJ12" s="30">
        <v>102833.33333333333</v>
      </c>
      <c r="DK12" s="30">
        <v>104266.66666666667</v>
      </c>
      <c r="DL12" s="30">
        <v>105533.33333333333</v>
      </c>
      <c r="DM12" s="30">
        <v>103266.66666666667</v>
      </c>
      <c r="DN12" s="30">
        <v>100433.33333333333</v>
      </c>
      <c r="DO12" s="30">
        <v>101266.66666666667</v>
      </c>
      <c r="DP12" s="30">
        <v>103100</v>
      </c>
      <c r="DQ12" s="30">
        <v>98012.333333333328</v>
      </c>
      <c r="DR12" s="30">
        <v>98340.666666666672</v>
      </c>
      <c r="DS12" s="30">
        <v>98000</v>
      </c>
      <c r="DT12" s="30">
        <v>99033.333333333328</v>
      </c>
      <c r="DU12" s="30">
        <v>99066.666666666672</v>
      </c>
      <c r="DV12" s="30">
        <v>100300</v>
      </c>
      <c r="DW12" s="30">
        <v>101000</v>
      </c>
      <c r="DX12" s="30">
        <v>101866.66666666667</v>
      </c>
      <c r="DY12" s="30">
        <v>102466.66666666667</v>
      </c>
      <c r="DZ12" s="30">
        <v>102933.33333333333</v>
      </c>
      <c r="EA12" s="30">
        <v>104066.66666666667</v>
      </c>
      <c r="EB12" s="30">
        <v>105200</v>
      </c>
      <c r="EC12" s="30">
        <v>106433.33333333333</v>
      </c>
      <c r="ED12" s="30">
        <v>107500</v>
      </c>
      <c r="EE12" s="30">
        <v>107666.66666666667</v>
      </c>
      <c r="EF12" s="30">
        <v>108000</v>
      </c>
      <c r="EG12" s="30">
        <v>109716.66666666667</v>
      </c>
      <c r="EH12" s="30">
        <v>109900</v>
      </c>
      <c r="EI12" s="30">
        <v>110383.33333333333</v>
      </c>
      <c r="EJ12" s="30">
        <v>110383.33333333333</v>
      </c>
      <c r="EK12" s="30">
        <v>110483.33333333333</v>
      </c>
      <c r="EL12" s="30">
        <v>110483.33333333333</v>
      </c>
      <c r="EM12" s="30">
        <v>110733.33333333333</v>
      </c>
      <c r="EN12" s="30">
        <v>110783.33333333333</v>
      </c>
      <c r="EO12" s="30">
        <v>110783.33333333333</v>
      </c>
      <c r="EP12" s="30">
        <v>110783.33333333333</v>
      </c>
      <c r="EQ12" s="30">
        <v>110783.33333333333</v>
      </c>
      <c r="ER12" s="30">
        <v>110900</v>
      </c>
      <c r="ES12" s="30">
        <v>111133.33333333333</v>
      </c>
      <c r="ET12" s="30">
        <v>111133.33333333333</v>
      </c>
      <c r="EU12" s="30">
        <v>111133.33333333333</v>
      </c>
      <c r="EV12" s="30">
        <v>111133.33333333333</v>
      </c>
      <c r="EW12" s="30">
        <v>111133.33333333333</v>
      </c>
      <c r="EX12" s="30">
        <v>111133.33333333333</v>
      </c>
      <c r="EY12" s="30">
        <v>111166.66666666667</v>
      </c>
      <c r="EZ12" s="30">
        <v>111166.66666666667</v>
      </c>
      <c r="FA12" s="30">
        <v>111166.66666666667</v>
      </c>
      <c r="FB12" s="30">
        <v>111100</v>
      </c>
      <c r="FC12" s="30">
        <v>111100</v>
      </c>
      <c r="FD12" s="30">
        <v>111100</v>
      </c>
      <c r="FE12" s="30">
        <v>111183.33333333333</v>
      </c>
      <c r="FF12" s="30">
        <v>111183.33333333333</v>
      </c>
      <c r="FG12" s="30">
        <v>111183.33333333333</v>
      </c>
      <c r="FH12" s="30">
        <v>111183.33333333333</v>
      </c>
      <c r="FI12" s="30">
        <v>111183.33333333333</v>
      </c>
      <c r="FJ12" s="30">
        <v>111183.33333333333</v>
      </c>
      <c r="FK12" s="30">
        <v>111216.66666666667</v>
      </c>
      <c r="FL12" s="30">
        <v>111250</v>
      </c>
      <c r="FM12" s="30">
        <v>111266.66666666667</v>
      </c>
      <c r="FN12" s="30">
        <v>111283.33333333333</v>
      </c>
      <c r="FO12" s="30">
        <v>111416.66666666667</v>
      </c>
      <c r="FP12" s="30">
        <v>111483.33333333333</v>
      </c>
      <c r="FQ12" s="30">
        <v>111483.33333333333</v>
      </c>
      <c r="FR12" s="30">
        <v>111483.33333333333</v>
      </c>
      <c r="FS12" s="30">
        <v>111550</v>
      </c>
      <c r="FT12" s="30">
        <v>111550</v>
      </c>
      <c r="FU12" s="30">
        <v>111583.33333333333</v>
      </c>
      <c r="FV12" s="30">
        <v>111583.33333333333</v>
      </c>
      <c r="FW12" s="30">
        <v>111616.66666666667</v>
      </c>
      <c r="FX12" s="30">
        <v>111650</v>
      </c>
      <c r="FY12" s="30">
        <v>111650</v>
      </c>
      <c r="FZ12" s="30">
        <v>111650</v>
      </c>
      <c r="GA12" s="30">
        <v>111500</v>
      </c>
      <c r="GB12" s="30">
        <v>110466.66666666667</v>
      </c>
      <c r="GC12" s="30">
        <v>109000</v>
      </c>
      <c r="GD12" s="30">
        <v>103666.66666666667</v>
      </c>
      <c r="GE12" s="30">
        <v>103800</v>
      </c>
      <c r="GF12" s="30">
        <v>103800</v>
      </c>
      <c r="GG12" s="30">
        <v>103800</v>
      </c>
      <c r="GH12" s="30">
        <v>104166.66666666667</v>
      </c>
      <c r="GI12" s="30">
        <v>103833.33333333333</v>
      </c>
      <c r="GJ12" s="30">
        <v>103833.33333333333</v>
      </c>
      <c r="GK12" s="30">
        <v>102133.33333333333</v>
      </c>
      <c r="GL12" s="30">
        <v>102933.33333333333</v>
      </c>
      <c r="GM12" s="30">
        <v>102683.33333333333</v>
      </c>
      <c r="GN12" s="30">
        <v>102616.66666666667</v>
      </c>
      <c r="GO12" s="30">
        <v>104400</v>
      </c>
      <c r="GP12" s="30">
        <v>105033.33333333333</v>
      </c>
      <c r="GQ12" s="30">
        <v>105750</v>
      </c>
      <c r="GR12" s="30">
        <v>106400</v>
      </c>
      <c r="GS12" s="30">
        <v>105033.33333333333</v>
      </c>
      <c r="GT12" s="30">
        <v>105033.33333333333</v>
      </c>
      <c r="GU12" s="30">
        <v>104766.66666666667</v>
      </c>
      <c r="GV12" s="30">
        <v>105533.33333333333</v>
      </c>
      <c r="GW12" s="30">
        <v>104633.33333333333</v>
      </c>
      <c r="GX12" s="30">
        <v>104633.33333333333</v>
      </c>
      <c r="GY12" s="30">
        <v>104633.33333333333</v>
      </c>
      <c r="GZ12" s="30">
        <v>105233.33333333333</v>
      </c>
      <c r="HA12" s="30">
        <v>105233.33333333333</v>
      </c>
      <c r="HB12" s="30">
        <v>106000</v>
      </c>
      <c r="HC12" s="30">
        <v>106000</v>
      </c>
      <c r="HD12" s="30">
        <v>106000</v>
      </c>
      <c r="HE12" s="30">
        <v>106300</v>
      </c>
      <c r="HF12" s="30">
        <v>105166.66666666667</v>
      </c>
      <c r="HG12" s="30">
        <v>105000</v>
      </c>
      <c r="HH12" s="30">
        <v>105666.66666666667</v>
      </c>
      <c r="HI12" s="30">
        <v>104633.33333333333</v>
      </c>
      <c r="HJ12" s="30">
        <v>105366.66666666667</v>
      </c>
      <c r="HK12" s="30">
        <v>105000</v>
      </c>
      <c r="HL12" s="30">
        <v>105000</v>
      </c>
      <c r="HM12" s="30">
        <v>105000</v>
      </c>
      <c r="HN12" s="30">
        <v>103666.66666666667</v>
      </c>
      <c r="HO12" s="30">
        <v>102000</v>
      </c>
      <c r="HP12" s="30">
        <v>100366.66666666667</v>
      </c>
      <c r="HQ12" s="30">
        <v>99100</v>
      </c>
      <c r="HR12" s="30">
        <v>97400</v>
      </c>
      <c r="HS12" s="30">
        <v>96000</v>
      </c>
      <c r="HT12" s="30">
        <v>96000</v>
      </c>
      <c r="HU12" s="30">
        <v>96000</v>
      </c>
      <c r="HV12" s="30">
        <v>96033.333333333328</v>
      </c>
      <c r="HW12" s="30">
        <v>96333.333333333328</v>
      </c>
      <c r="HX12" s="30">
        <v>95683.333333333328</v>
      </c>
      <c r="HY12" s="30">
        <v>94333.333333333328</v>
      </c>
      <c r="HZ12" s="30">
        <v>95100</v>
      </c>
      <c r="IA12" s="30">
        <v>97116.666666666672</v>
      </c>
      <c r="IB12" s="30">
        <v>97683.333333333328</v>
      </c>
      <c r="IC12" s="30">
        <v>99200</v>
      </c>
      <c r="ID12" s="30">
        <v>100000</v>
      </c>
      <c r="IE12" s="30">
        <v>100000</v>
      </c>
      <c r="IF12" s="30">
        <v>101866.66666666667</v>
      </c>
      <c r="IG12" s="30">
        <v>103733.33333333333</v>
      </c>
      <c r="IH12" s="30">
        <v>105000</v>
      </c>
      <c r="II12" s="30">
        <v>106400</v>
      </c>
      <c r="IJ12" s="30">
        <v>108883.33333333333</v>
      </c>
      <c r="IK12" s="30">
        <v>110766.66666666667</v>
      </c>
      <c r="IL12" s="30">
        <v>113266.66666666667</v>
      </c>
      <c r="IM12" s="30">
        <v>114766.66666666667</v>
      </c>
      <c r="IN12" s="30">
        <v>116700</v>
      </c>
      <c r="IO12" s="30">
        <v>116566.66666666667</v>
      </c>
      <c r="IP12" s="30">
        <v>116400</v>
      </c>
      <c r="IQ12" s="30">
        <v>116733.33333333333</v>
      </c>
      <c r="IR12" s="30">
        <v>117533.33333333333</v>
      </c>
      <c r="IS12" s="32">
        <v>117900</v>
      </c>
      <c r="IT12" s="19">
        <v>118566.66666666667</v>
      </c>
      <c r="IU12" s="19">
        <v>119500</v>
      </c>
      <c r="IV12">
        <v>120666.66666666667</v>
      </c>
      <c r="IW12">
        <v>121716.66666666667</v>
      </c>
      <c r="IX12">
        <v>124433.33333333333</v>
      </c>
      <c r="IY12">
        <v>126033.33333333333</v>
      </c>
      <c r="IZ12">
        <v>128866.66666666667</v>
      </c>
      <c r="JA12">
        <v>131766.66666666666</v>
      </c>
      <c r="JB12">
        <v>135000</v>
      </c>
      <c r="JC12">
        <v>138366.66666666666</v>
      </c>
      <c r="JD12">
        <v>140766.66666666666</v>
      </c>
      <c r="JE12">
        <v>142266.66666666666</v>
      </c>
      <c r="JF12">
        <v>143900</v>
      </c>
      <c r="JG12">
        <v>146000</v>
      </c>
      <c r="JH12">
        <v>147100</v>
      </c>
      <c r="JI12">
        <v>147400</v>
      </c>
      <c r="JJ12">
        <v>147750</v>
      </c>
      <c r="JK12">
        <v>148966.66666666666</v>
      </c>
      <c r="JL12">
        <v>149566.66666666666</v>
      </c>
      <c r="JM12">
        <v>150700</v>
      </c>
      <c r="JN12">
        <v>154333.33333333334</v>
      </c>
      <c r="JO12">
        <v>161166.66666666666</v>
      </c>
      <c r="JP12">
        <v>162000</v>
      </c>
      <c r="JQ12">
        <v>164900</v>
      </c>
      <c r="JR12">
        <v>162133.33333333334</v>
      </c>
      <c r="JS12">
        <v>163400</v>
      </c>
      <c r="JT12">
        <v>164033.33333333334</v>
      </c>
      <c r="JU12">
        <v>170100</v>
      </c>
      <c r="JV12">
        <v>171033.33333333334</v>
      </c>
      <c r="JW12">
        <v>172166.66666666666</v>
      </c>
      <c r="JX12">
        <v>174333.33333333334</v>
      </c>
      <c r="JY12">
        <v>175166.66666666666</v>
      </c>
      <c r="JZ12">
        <v>177866.66666666666</v>
      </c>
    </row>
    <row r="13" spans="1:286" x14ac:dyDescent="0.25">
      <c r="A13" s="38" t="s">
        <v>27</v>
      </c>
      <c r="B13" s="30">
        <v>17298.526349206353</v>
      </c>
      <c r="C13" s="30">
        <v>17391.810634920654</v>
      </c>
      <c r="D13" s="30">
        <v>18326.27</v>
      </c>
      <c r="E13" s="30">
        <v>18197.405913043487</v>
      </c>
      <c r="F13" s="30">
        <v>18392.316666666669</v>
      </c>
      <c r="G13" s="30">
        <v>18871.760227272713</v>
      </c>
      <c r="H13" s="30">
        <v>18234.186449275345</v>
      </c>
      <c r="I13" s="30">
        <v>18131.391130434789</v>
      </c>
      <c r="J13" s="30">
        <v>18401.608608695638</v>
      </c>
      <c r="K13" s="30">
        <v>19189.882800000003</v>
      </c>
      <c r="L13" s="30">
        <v>19280.772499999988</v>
      </c>
      <c r="M13" s="30">
        <v>19681.350972222212</v>
      </c>
      <c r="N13" s="30">
        <v>18642.53571052631</v>
      </c>
      <c r="O13" s="30">
        <v>19055.473863636376</v>
      </c>
      <c r="P13" s="30">
        <v>19335.709166666657</v>
      </c>
      <c r="Q13" s="30">
        <v>19348.819000000003</v>
      </c>
      <c r="R13" s="30">
        <v>19307.266674999999</v>
      </c>
      <c r="S13" s="30">
        <v>19326.064875</v>
      </c>
      <c r="T13" s="30">
        <v>19168.486826086966</v>
      </c>
      <c r="U13" s="30">
        <v>19136.304478260849</v>
      </c>
      <c r="V13" s="30">
        <v>19068.153413043488</v>
      </c>
      <c r="W13" s="30">
        <v>18706.142043478256</v>
      </c>
      <c r="X13" s="30">
        <v>18729.051806818188</v>
      </c>
      <c r="Y13" s="30">
        <v>18752.500500000002</v>
      </c>
      <c r="Z13" s="30">
        <v>18858.049381578934</v>
      </c>
      <c r="AA13" s="30">
        <v>18722.437630952398</v>
      </c>
      <c r="AB13" s="30">
        <v>18885.032434782595</v>
      </c>
      <c r="AC13" s="30">
        <v>18766.31986363637</v>
      </c>
      <c r="AD13" s="30">
        <v>18831.855424999998</v>
      </c>
      <c r="AE13" s="30">
        <v>19321.934465909082</v>
      </c>
      <c r="AF13" s="30">
        <v>19668.974999999999</v>
      </c>
      <c r="AG13" s="30">
        <v>19800</v>
      </c>
      <c r="AH13" s="30">
        <v>20225</v>
      </c>
      <c r="AI13" s="30">
        <v>20875</v>
      </c>
      <c r="AJ13" s="30">
        <v>21050</v>
      </c>
      <c r="AK13" s="30">
        <v>20875</v>
      </c>
      <c r="AL13" s="30">
        <v>21125</v>
      </c>
      <c r="AM13" s="30">
        <v>20350</v>
      </c>
      <c r="AN13" s="30">
        <v>20225</v>
      </c>
      <c r="AO13" s="30">
        <v>23475</v>
      </c>
      <c r="AP13" s="30">
        <v>24475</v>
      </c>
      <c r="AQ13" s="30">
        <v>25350</v>
      </c>
      <c r="AR13" s="30">
        <v>25425</v>
      </c>
      <c r="AS13" s="30">
        <v>27050</v>
      </c>
      <c r="AT13" s="30">
        <v>27100</v>
      </c>
      <c r="AU13" s="30">
        <v>27525</v>
      </c>
      <c r="AV13" s="30">
        <v>28600</v>
      </c>
      <c r="AW13" s="30">
        <v>28200</v>
      </c>
      <c r="AX13" s="30">
        <v>27220</v>
      </c>
      <c r="AY13" s="30">
        <v>28320</v>
      </c>
      <c r="AZ13" s="30">
        <v>29620</v>
      </c>
      <c r="BA13" s="30">
        <v>30140</v>
      </c>
      <c r="BB13" s="30">
        <v>30880</v>
      </c>
      <c r="BC13" s="30">
        <v>30880</v>
      </c>
      <c r="BD13" s="30">
        <v>31420</v>
      </c>
      <c r="BE13" s="30">
        <v>36028</v>
      </c>
      <c r="BF13" s="30">
        <v>37360</v>
      </c>
      <c r="BG13" s="30">
        <v>38740</v>
      </c>
      <c r="BH13" s="30">
        <v>39620</v>
      </c>
      <c r="BI13" s="30">
        <v>41800</v>
      </c>
      <c r="BJ13" s="30">
        <v>42400</v>
      </c>
      <c r="BK13" s="30">
        <v>42740</v>
      </c>
      <c r="BL13" s="30">
        <v>43600</v>
      </c>
      <c r="BM13" s="30">
        <v>44420</v>
      </c>
      <c r="BN13" s="30">
        <v>45640</v>
      </c>
      <c r="BO13" s="30">
        <v>46920</v>
      </c>
      <c r="BP13" s="30">
        <v>48400</v>
      </c>
      <c r="BQ13" s="30">
        <v>50140</v>
      </c>
      <c r="BR13" s="30">
        <v>50240</v>
      </c>
      <c r="BS13" s="30">
        <v>51760</v>
      </c>
      <c r="BT13" s="30">
        <v>52800</v>
      </c>
      <c r="BU13" s="30">
        <v>54440</v>
      </c>
      <c r="BV13" s="30">
        <v>55860</v>
      </c>
      <c r="BW13" s="30">
        <v>57140</v>
      </c>
      <c r="BX13" s="30">
        <v>57280</v>
      </c>
      <c r="BY13" s="30">
        <v>57980</v>
      </c>
      <c r="BZ13" s="30">
        <v>58800</v>
      </c>
      <c r="CA13" s="30">
        <v>60760</v>
      </c>
      <c r="CB13" s="30">
        <v>62880</v>
      </c>
      <c r="CC13" s="30">
        <v>64640</v>
      </c>
      <c r="CD13" s="30">
        <v>67060</v>
      </c>
      <c r="CE13" s="30">
        <v>68080</v>
      </c>
      <c r="CF13" s="30">
        <v>69120</v>
      </c>
      <c r="CG13" s="30">
        <v>70200</v>
      </c>
      <c r="CH13" s="30">
        <v>70200</v>
      </c>
      <c r="CI13" s="30">
        <v>66300</v>
      </c>
      <c r="CJ13" s="30">
        <v>71580</v>
      </c>
      <c r="CK13" s="30">
        <v>68040</v>
      </c>
      <c r="CL13" s="30">
        <v>64940</v>
      </c>
      <c r="CM13" s="30">
        <v>64980</v>
      </c>
      <c r="CN13" s="30">
        <v>64620</v>
      </c>
      <c r="CO13" s="30">
        <v>63800</v>
      </c>
      <c r="CP13" s="30">
        <v>63280</v>
      </c>
      <c r="CQ13" s="30">
        <v>63600</v>
      </c>
      <c r="CR13" s="30">
        <v>64900</v>
      </c>
      <c r="CS13" s="30">
        <v>65460</v>
      </c>
      <c r="CT13" s="30">
        <v>66240</v>
      </c>
      <c r="CU13" s="30">
        <v>66900</v>
      </c>
      <c r="CV13" s="30">
        <v>67600</v>
      </c>
      <c r="CW13" s="30">
        <v>68160</v>
      </c>
      <c r="CX13" s="30">
        <v>69020</v>
      </c>
      <c r="CY13" s="30">
        <v>69980</v>
      </c>
      <c r="CZ13" s="30">
        <v>70500</v>
      </c>
      <c r="DA13" s="30">
        <v>70120</v>
      </c>
      <c r="DB13" s="30">
        <v>69200</v>
      </c>
      <c r="DC13" s="30">
        <v>68620</v>
      </c>
      <c r="DD13" s="30">
        <v>67980</v>
      </c>
      <c r="DE13" s="30">
        <v>67440</v>
      </c>
      <c r="DF13" s="30">
        <v>67560</v>
      </c>
      <c r="DG13" s="30">
        <v>67620</v>
      </c>
      <c r="DH13" s="30">
        <v>68880</v>
      </c>
      <c r="DI13" s="30">
        <v>69420</v>
      </c>
      <c r="DJ13" s="30">
        <v>69840</v>
      </c>
      <c r="DK13" s="30">
        <v>70240</v>
      </c>
      <c r="DL13" s="30">
        <v>70860</v>
      </c>
      <c r="DM13" s="30">
        <v>70780</v>
      </c>
      <c r="DN13" s="30">
        <v>69560</v>
      </c>
      <c r="DO13" s="30">
        <v>69660</v>
      </c>
      <c r="DP13" s="30">
        <v>69620</v>
      </c>
      <c r="DQ13" s="30">
        <v>64065</v>
      </c>
      <c r="DR13" s="30">
        <v>63794.6</v>
      </c>
      <c r="DS13" s="30">
        <v>64840</v>
      </c>
      <c r="DT13" s="30">
        <v>65000</v>
      </c>
      <c r="DU13" s="30">
        <v>65200</v>
      </c>
      <c r="DV13" s="30">
        <v>66080</v>
      </c>
      <c r="DW13" s="30">
        <v>66620</v>
      </c>
      <c r="DX13" s="30">
        <v>67040</v>
      </c>
      <c r="DY13" s="30">
        <v>67660</v>
      </c>
      <c r="DZ13" s="30">
        <v>68190</v>
      </c>
      <c r="EA13" s="30">
        <v>69460</v>
      </c>
      <c r="EB13" s="30">
        <v>70260</v>
      </c>
      <c r="EC13" s="30">
        <v>71120</v>
      </c>
      <c r="ED13" s="30">
        <v>71770</v>
      </c>
      <c r="EE13" s="30">
        <v>72080</v>
      </c>
      <c r="EF13" s="30">
        <v>72760</v>
      </c>
      <c r="EG13" s="30">
        <v>74140</v>
      </c>
      <c r="EH13" s="30">
        <v>74400</v>
      </c>
      <c r="EI13" s="30">
        <v>74400</v>
      </c>
      <c r="EJ13" s="30">
        <v>74400</v>
      </c>
      <c r="EK13" s="30">
        <v>74470</v>
      </c>
      <c r="EL13" s="30">
        <v>74550</v>
      </c>
      <c r="EM13" s="30">
        <v>74660</v>
      </c>
      <c r="EN13" s="30">
        <v>74680</v>
      </c>
      <c r="EO13" s="30">
        <v>74680</v>
      </c>
      <c r="EP13" s="30">
        <v>74680</v>
      </c>
      <c r="EQ13" s="30">
        <v>74680</v>
      </c>
      <c r="ER13" s="30">
        <v>74680</v>
      </c>
      <c r="ES13" s="30">
        <v>74680</v>
      </c>
      <c r="ET13" s="30">
        <v>74680</v>
      </c>
      <c r="EU13" s="30">
        <v>74680</v>
      </c>
      <c r="EV13" s="30">
        <v>74680</v>
      </c>
      <c r="EW13" s="30">
        <v>74680</v>
      </c>
      <c r="EX13" s="30">
        <v>74720</v>
      </c>
      <c r="EY13" s="30">
        <v>74720</v>
      </c>
      <c r="EZ13" s="30">
        <v>74820</v>
      </c>
      <c r="FA13" s="30">
        <v>74820</v>
      </c>
      <c r="FB13" s="30">
        <v>74760</v>
      </c>
      <c r="FC13" s="30">
        <v>74760</v>
      </c>
      <c r="FD13" s="30">
        <v>74830</v>
      </c>
      <c r="FE13" s="30">
        <v>74860</v>
      </c>
      <c r="FF13" s="30">
        <v>74860</v>
      </c>
      <c r="FG13" s="30">
        <v>74880</v>
      </c>
      <c r="FH13" s="30">
        <v>74940</v>
      </c>
      <c r="FI13" s="30">
        <v>74950</v>
      </c>
      <c r="FJ13" s="30">
        <v>75140</v>
      </c>
      <c r="FK13" s="30">
        <v>75170</v>
      </c>
      <c r="FL13" s="30">
        <v>75200</v>
      </c>
      <c r="FM13" s="30">
        <v>75200</v>
      </c>
      <c r="FN13" s="30">
        <v>75200</v>
      </c>
      <c r="FO13" s="30">
        <v>75280</v>
      </c>
      <c r="FP13" s="30">
        <v>75300</v>
      </c>
      <c r="FQ13" s="30">
        <v>75340</v>
      </c>
      <c r="FR13" s="30">
        <v>75340</v>
      </c>
      <c r="FS13" s="30">
        <v>75370</v>
      </c>
      <c r="FT13" s="30">
        <v>75370</v>
      </c>
      <c r="FU13" s="30">
        <v>75380</v>
      </c>
      <c r="FV13" s="30">
        <v>75380</v>
      </c>
      <c r="FW13" s="30">
        <v>75450</v>
      </c>
      <c r="FX13" s="30">
        <v>75450</v>
      </c>
      <c r="FY13" s="30">
        <v>75480</v>
      </c>
      <c r="FZ13" s="30">
        <v>75480</v>
      </c>
      <c r="GA13" s="30">
        <v>75480</v>
      </c>
      <c r="GB13" s="30">
        <v>74420</v>
      </c>
      <c r="GC13" s="30">
        <v>73820</v>
      </c>
      <c r="GD13" s="30">
        <v>70620</v>
      </c>
      <c r="GE13" s="30">
        <v>73080</v>
      </c>
      <c r="GF13" s="30">
        <v>73390</v>
      </c>
      <c r="GG13" s="30">
        <v>73390</v>
      </c>
      <c r="GH13" s="30">
        <v>72980</v>
      </c>
      <c r="GI13" s="30">
        <v>73780</v>
      </c>
      <c r="GJ13" s="30">
        <v>73780</v>
      </c>
      <c r="GK13" s="30">
        <v>73780</v>
      </c>
      <c r="GL13" s="30">
        <v>72980</v>
      </c>
      <c r="GM13" s="30">
        <v>73420</v>
      </c>
      <c r="GN13" s="30">
        <v>86360</v>
      </c>
      <c r="GO13" s="30">
        <v>86580</v>
      </c>
      <c r="GP13" s="30">
        <v>85980</v>
      </c>
      <c r="GQ13" s="30">
        <v>86220</v>
      </c>
      <c r="GR13" s="30">
        <v>86540</v>
      </c>
      <c r="GS13" s="30">
        <v>87740</v>
      </c>
      <c r="GT13" s="30">
        <v>88480</v>
      </c>
      <c r="GU13" s="30">
        <v>89280</v>
      </c>
      <c r="GV13" s="30">
        <v>89790</v>
      </c>
      <c r="GW13" s="30">
        <v>90200</v>
      </c>
      <c r="GX13" s="30">
        <v>90890</v>
      </c>
      <c r="GY13" s="30">
        <v>91690</v>
      </c>
      <c r="GZ13" s="30">
        <v>91850</v>
      </c>
      <c r="HA13" s="30">
        <v>93020</v>
      </c>
      <c r="HB13" s="30">
        <v>92810</v>
      </c>
      <c r="HC13" s="30">
        <v>93660</v>
      </c>
      <c r="HD13" s="30">
        <v>93900</v>
      </c>
      <c r="HE13" s="30">
        <v>94260</v>
      </c>
      <c r="HF13" s="30">
        <v>95520</v>
      </c>
      <c r="HG13" s="30">
        <v>96420</v>
      </c>
      <c r="HH13" s="30">
        <v>96240</v>
      </c>
      <c r="HI13" s="30">
        <v>90200</v>
      </c>
      <c r="HJ13" s="30">
        <v>98040</v>
      </c>
      <c r="HK13" s="30">
        <v>98960</v>
      </c>
      <c r="HL13" s="30">
        <v>98960</v>
      </c>
      <c r="HM13" s="30">
        <v>98960</v>
      </c>
      <c r="HN13" s="30">
        <v>98010</v>
      </c>
      <c r="HO13" s="30">
        <v>96010</v>
      </c>
      <c r="HP13" s="30">
        <v>94040</v>
      </c>
      <c r="HQ13" s="30">
        <v>94800</v>
      </c>
      <c r="HR13" s="30">
        <v>94820</v>
      </c>
      <c r="HS13" s="30">
        <v>93900</v>
      </c>
      <c r="HT13" s="30">
        <v>91800</v>
      </c>
      <c r="HU13" s="30">
        <v>90940</v>
      </c>
      <c r="HV13" s="30">
        <v>91300</v>
      </c>
      <c r="HW13" s="30">
        <v>90820</v>
      </c>
      <c r="HX13" s="30">
        <v>90960</v>
      </c>
      <c r="HY13" s="30">
        <v>91100</v>
      </c>
      <c r="HZ13" s="30">
        <v>91320</v>
      </c>
      <c r="IA13" s="30">
        <v>92500</v>
      </c>
      <c r="IB13" s="30">
        <v>92900</v>
      </c>
      <c r="IC13" s="30">
        <v>93950</v>
      </c>
      <c r="ID13" s="30">
        <v>95200</v>
      </c>
      <c r="IE13" s="30">
        <v>96340</v>
      </c>
      <c r="IF13" s="30">
        <v>97260</v>
      </c>
      <c r="IG13" s="30">
        <v>99090</v>
      </c>
      <c r="IH13" s="30">
        <v>100600</v>
      </c>
      <c r="II13" s="30">
        <v>102350</v>
      </c>
      <c r="IJ13" s="30">
        <v>105270</v>
      </c>
      <c r="IK13" s="30">
        <v>107520</v>
      </c>
      <c r="IL13" s="30">
        <v>109540</v>
      </c>
      <c r="IM13" s="30">
        <v>111000</v>
      </c>
      <c r="IN13" s="30">
        <v>112040</v>
      </c>
      <c r="IO13" s="30">
        <v>111940</v>
      </c>
      <c r="IP13" s="30">
        <v>112180</v>
      </c>
      <c r="IQ13" s="30">
        <v>113060</v>
      </c>
      <c r="IR13" s="30">
        <v>113700</v>
      </c>
      <c r="IS13" s="32">
        <v>114420</v>
      </c>
      <c r="IT13" s="19">
        <v>115640</v>
      </c>
      <c r="IU13" s="19">
        <v>116300</v>
      </c>
      <c r="IV13">
        <v>117450</v>
      </c>
      <c r="IW13">
        <v>118670</v>
      </c>
      <c r="IX13">
        <v>119790</v>
      </c>
      <c r="IY13">
        <v>119210</v>
      </c>
      <c r="IZ13">
        <v>120050</v>
      </c>
      <c r="JA13">
        <v>121440</v>
      </c>
      <c r="JB13">
        <v>123410</v>
      </c>
      <c r="JC13">
        <v>125310</v>
      </c>
      <c r="JD13">
        <v>127100</v>
      </c>
      <c r="JE13">
        <v>128140</v>
      </c>
      <c r="JF13">
        <v>129700</v>
      </c>
      <c r="JG13">
        <v>131340</v>
      </c>
      <c r="JH13">
        <v>131900</v>
      </c>
      <c r="JI13">
        <v>132120</v>
      </c>
      <c r="JJ13">
        <v>131800</v>
      </c>
      <c r="JK13">
        <v>131820</v>
      </c>
      <c r="JL13">
        <v>132360</v>
      </c>
      <c r="JM13">
        <v>133300</v>
      </c>
      <c r="JN13">
        <v>135550</v>
      </c>
      <c r="JO13">
        <v>138100</v>
      </c>
      <c r="JP13">
        <v>140080</v>
      </c>
      <c r="JQ13">
        <v>142060</v>
      </c>
      <c r="JR13">
        <v>146500</v>
      </c>
      <c r="JS13">
        <v>151360</v>
      </c>
      <c r="JT13">
        <v>151860</v>
      </c>
      <c r="JU13">
        <v>153740</v>
      </c>
      <c r="JV13">
        <v>155080</v>
      </c>
      <c r="JW13">
        <v>156980</v>
      </c>
      <c r="JX13">
        <v>158300</v>
      </c>
      <c r="JY13">
        <v>159720</v>
      </c>
      <c r="JZ13">
        <v>162320</v>
      </c>
    </row>
    <row r="14" spans="1:286" x14ac:dyDescent="0.25">
      <c r="A14" s="27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</row>
    <row r="15" spans="1:286" x14ac:dyDescent="0.25">
      <c r="A15"/>
    </row>
    <row r="16" spans="1:286" ht="26.25" x14ac:dyDescent="0.25">
      <c r="A16" s="39" t="s">
        <v>28</v>
      </c>
      <c r="B16" s="25">
        <v>37257</v>
      </c>
      <c r="C16" s="25">
        <v>37288</v>
      </c>
      <c r="D16" s="25">
        <v>37316</v>
      </c>
      <c r="E16" s="25">
        <v>37347</v>
      </c>
      <c r="F16" s="25">
        <v>37377</v>
      </c>
      <c r="G16" s="25">
        <v>37408</v>
      </c>
      <c r="H16" s="25">
        <v>37438</v>
      </c>
      <c r="I16" s="25">
        <v>37469</v>
      </c>
      <c r="J16" s="25">
        <v>37500</v>
      </c>
      <c r="K16" s="25">
        <v>37530</v>
      </c>
      <c r="L16" s="25">
        <v>37561</v>
      </c>
      <c r="M16" s="25">
        <v>37591</v>
      </c>
      <c r="N16" s="25">
        <v>37622</v>
      </c>
      <c r="O16" s="25">
        <v>37653</v>
      </c>
      <c r="P16" s="25">
        <v>37681</v>
      </c>
      <c r="Q16" s="25">
        <v>37712</v>
      </c>
      <c r="R16" s="25">
        <v>37742</v>
      </c>
      <c r="S16" s="25">
        <v>37773</v>
      </c>
      <c r="T16" s="25">
        <v>37803</v>
      </c>
      <c r="U16" s="25">
        <v>37834</v>
      </c>
      <c r="V16" s="25">
        <v>37865</v>
      </c>
      <c r="W16" s="25">
        <v>37895</v>
      </c>
      <c r="X16" s="25">
        <v>37926</v>
      </c>
      <c r="Y16" s="25">
        <v>37956</v>
      </c>
      <c r="Z16" s="25">
        <v>37987</v>
      </c>
      <c r="AA16" s="25">
        <v>38018</v>
      </c>
      <c r="AB16" s="25">
        <v>38047</v>
      </c>
      <c r="AC16" s="25">
        <v>38078</v>
      </c>
      <c r="AD16" s="25">
        <v>38108</v>
      </c>
      <c r="AE16" s="25">
        <v>38139</v>
      </c>
      <c r="AF16" s="25">
        <v>38169</v>
      </c>
      <c r="AG16" s="25">
        <v>38200</v>
      </c>
      <c r="AH16" s="25">
        <v>38231</v>
      </c>
      <c r="AI16" s="25">
        <v>38261</v>
      </c>
      <c r="AJ16" s="25">
        <v>38292</v>
      </c>
      <c r="AK16" s="25">
        <v>38322</v>
      </c>
      <c r="AL16" s="25">
        <v>38353</v>
      </c>
      <c r="AM16" s="25">
        <v>38384</v>
      </c>
      <c r="AN16" s="25">
        <v>38412</v>
      </c>
      <c r="AO16" s="25">
        <v>38443</v>
      </c>
      <c r="AP16" s="25">
        <v>38473</v>
      </c>
      <c r="AQ16" s="25">
        <v>38504</v>
      </c>
      <c r="AR16" s="25">
        <v>38534</v>
      </c>
      <c r="AS16" s="25">
        <v>38565</v>
      </c>
      <c r="AT16" s="25">
        <v>38596</v>
      </c>
      <c r="AU16" s="25">
        <v>38626</v>
      </c>
      <c r="AV16" s="25">
        <v>38657</v>
      </c>
      <c r="AW16" s="25">
        <v>38687</v>
      </c>
      <c r="AX16" s="25">
        <v>38718</v>
      </c>
      <c r="AY16" s="25">
        <v>38749</v>
      </c>
      <c r="AZ16" s="25">
        <v>38777</v>
      </c>
      <c r="BA16" s="25">
        <v>38808</v>
      </c>
      <c r="BB16" s="25">
        <v>38838</v>
      </c>
      <c r="BC16" s="25">
        <v>38869</v>
      </c>
      <c r="BD16" s="25">
        <v>38899</v>
      </c>
      <c r="BE16" s="25">
        <v>38930</v>
      </c>
      <c r="BF16" s="25">
        <v>38961</v>
      </c>
      <c r="BG16" s="25">
        <v>38991</v>
      </c>
      <c r="BH16" s="25">
        <v>39022</v>
      </c>
      <c r="BI16" s="25">
        <v>39052</v>
      </c>
      <c r="BJ16" s="25">
        <v>39083</v>
      </c>
      <c r="BK16" s="25">
        <v>39114</v>
      </c>
      <c r="BL16" s="25">
        <v>39142</v>
      </c>
      <c r="BM16" s="25">
        <v>39173</v>
      </c>
      <c r="BN16" s="25">
        <v>39203</v>
      </c>
      <c r="BO16" s="25">
        <v>39234</v>
      </c>
      <c r="BP16" s="25">
        <v>39264</v>
      </c>
      <c r="BQ16" s="25">
        <v>39295</v>
      </c>
      <c r="BR16" s="25">
        <v>39326</v>
      </c>
      <c r="BS16" s="25">
        <v>39356</v>
      </c>
      <c r="BT16" s="25">
        <v>39387</v>
      </c>
      <c r="BU16" s="25">
        <v>39417</v>
      </c>
      <c r="BV16" s="25">
        <v>39448</v>
      </c>
      <c r="BW16" s="25">
        <v>39479</v>
      </c>
      <c r="BX16" s="25">
        <v>39508</v>
      </c>
      <c r="BY16" s="25">
        <v>39539</v>
      </c>
      <c r="BZ16" s="25">
        <v>39569</v>
      </c>
      <c r="CA16" s="25">
        <v>39600</v>
      </c>
      <c r="CB16" s="25">
        <v>39630</v>
      </c>
      <c r="CC16" s="25">
        <v>39661</v>
      </c>
      <c r="CD16" s="25">
        <v>39692</v>
      </c>
      <c r="CE16" s="25">
        <v>39722</v>
      </c>
      <c r="CF16" s="25">
        <v>39753</v>
      </c>
      <c r="CG16" s="25">
        <v>39783</v>
      </c>
      <c r="CH16" s="25">
        <v>39814</v>
      </c>
      <c r="CI16" s="25">
        <v>39845</v>
      </c>
      <c r="CJ16" s="25">
        <v>39873</v>
      </c>
      <c r="CK16" s="25">
        <v>39904</v>
      </c>
      <c r="CL16" s="25">
        <v>39934</v>
      </c>
      <c r="CM16" s="25">
        <v>39965</v>
      </c>
      <c r="CN16" s="25">
        <v>39995</v>
      </c>
      <c r="CO16" s="25">
        <v>40026</v>
      </c>
      <c r="CP16" s="25">
        <v>40057</v>
      </c>
      <c r="CQ16" s="25">
        <v>40087</v>
      </c>
      <c r="CR16" s="25">
        <v>40118</v>
      </c>
      <c r="CS16" s="25">
        <v>40148</v>
      </c>
      <c r="CT16" s="25">
        <v>40179</v>
      </c>
      <c r="CU16" s="25">
        <v>40210</v>
      </c>
      <c r="CV16" s="25">
        <v>40238</v>
      </c>
      <c r="CW16" s="25">
        <v>40269</v>
      </c>
      <c r="CX16" s="25">
        <v>40299</v>
      </c>
      <c r="CY16" s="25">
        <v>40330</v>
      </c>
      <c r="CZ16" s="25">
        <v>40360</v>
      </c>
      <c r="DA16" s="25">
        <v>40391</v>
      </c>
      <c r="DB16" s="25">
        <v>40422</v>
      </c>
      <c r="DC16" s="25">
        <v>40452</v>
      </c>
      <c r="DD16" s="25">
        <v>40483</v>
      </c>
      <c r="DE16" s="25">
        <v>40513</v>
      </c>
      <c r="DF16" s="25">
        <v>40544</v>
      </c>
      <c r="DG16" s="25">
        <v>40575</v>
      </c>
      <c r="DH16" s="25">
        <v>40603</v>
      </c>
      <c r="DI16" s="25">
        <v>40634</v>
      </c>
      <c r="DJ16" s="25">
        <v>40664</v>
      </c>
      <c r="DK16" s="25">
        <v>40695</v>
      </c>
      <c r="DL16" s="25">
        <v>40725</v>
      </c>
      <c r="DM16" s="25">
        <v>40756</v>
      </c>
      <c r="DN16" s="25">
        <v>40787</v>
      </c>
      <c r="DO16" s="25">
        <v>40817</v>
      </c>
      <c r="DP16" s="25">
        <v>40848</v>
      </c>
      <c r="DQ16" s="25">
        <v>40878</v>
      </c>
      <c r="DR16" s="25">
        <v>40909</v>
      </c>
      <c r="DS16" s="25">
        <v>40940</v>
      </c>
      <c r="DT16" s="25">
        <v>40969</v>
      </c>
      <c r="DU16" s="25">
        <v>41000</v>
      </c>
      <c r="DV16" s="25">
        <v>41030</v>
      </c>
      <c r="DW16" s="25">
        <v>41061</v>
      </c>
      <c r="DX16" s="25">
        <v>41091</v>
      </c>
      <c r="DY16" s="25">
        <v>41122</v>
      </c>
      <c r="DZ16" s="25">
        <v>41153</v>
      </c>
      <c r="EA16" s="25">
        <v>41183</v>
      </c>
      <c r="EB16" s="25">
        <v>41214</v>
      </c>
      <c r="EC16" s="25">
        <v>41244</v>
      </c>
      <c r="ED16" s="25">
        <v>41275</v>
      </c>
      <c r="EE16" s="25">
        <v>41306</v>
      </c>
      <c r="EF16" s="25">
        <v>41334</v>
      </c>
      <c r="EG16" s="25">
        <v>41365</v>
      </c>
      <c r="EH16" s="25">
        <v>41395</v>
      </c>
      <c r="EI16" s="25">
        <v>41426</v>
      </c>
      <c r="EJ16" s="25">
        <v>41456</v>
      </c>
      <c r="EK16" s="25">
        <v>41487</v>
      </c>
      <c r="EL16" s="25">
        <v>41518</v>
      </c>
      <c r="EM16" s="25">
        <v>41548</v>
      </c>
      <c r="EN16" s="25">
        <v>41579</v>
      </c>
      <c r="EO16" s="25">
        <v>41609</v>
      </c>
      <c r="EP16" s="25">
        <v>41640</v>
      </c>
      <c r="EQ16" s="25">
        <v>41671</v>
      </c>
      <c r="ER16" s="25">
        <v>41699</v>
      </c>
      <c r="ES16" s="25">
        <v>41730</v>
      </c>
      <c r="ET16" s="25">
        <v>41760</v>
      </c>
      <c r="EU16" s="25">
        <v>41791</v>
      </c>
      <c r="EV16" s="25">
        <v>41821</v>
      </c>
      <c r="EW16" s="25">
        <v>41852</v>
      </c>
      <c r="EX16" s="25">
        <v>41883</v>
      </c>
      <c r="EY16" s="25">
        <v>41913</v>
      </c>
      <c r="EZ16" s="25">
        <v>41944</v>
      </c>
      <c r="FA16" s="25">
        <v>41974</v>
      </c>
      <c r="FB16" s="25">
        <v>42005</v>
      </c>
      <c r="FC16" s="25">
        <v>42036</v>
      </c>
      <c r="FD16" s="25">
        <v>42064</v>
      </c>
      <c r="FE16" s="25">
        <v>42095</v>
      </c>
      <c r="FF16" s="25">
        <v>42125</v>
      </c>
      <c r="FG16" s="25">
        <v>42156</v>
      </c>
      <c r="FH16" s="25">
        <v>42186</v>
      </c>
      <c r="FI16" s="25">
        <v>42217</v>
      </c>
      <c r="FJ16" s="25">
        <v>42248</v>
      </c>
      <c r="FK16" s="25">
        <v>42278</v>
      </c>
      <c r="FL16" s="25">
        <v>42309</v>
      </c>
      <c r="FM16" s="25">
        <v>42339</v>
      </c>
      <c r="FN16" s="25">
        <v>42370</v>
      </c>
      <c r="FO16" s="25">
        <v>42401</v>
      </c>
      <c r="FP16" s="25">
        <v>42430</v>
      </c>
      <c r="FQ16" s="25">
        <v>42461</v>
      </c>
      <c r="FR16" s="25">
        <v>42491</v>
      </c>
      <c r="FS16" s="25">
        <v>42522</v>
      </c>
      <c r="FT16" s="25">
        <v>42552</v>
      </c>
      <c r="FU16" s="25">
        <v>42583</v>
      </c>
      <c r="FV16" s="25">
        <v>42614</v>
      </c>
      <c r="FW16" s="25">
        <v>42644</v>
      </c>
      <c r="FX16" s="25">
        <v>42675</v>
      </c>
      <c r="FY16" s="25">
        <v>42705</v>
      </c>
      <c r="FZ16" s="25">
        <v>42736</v>
      </c>
      <c r="GA16" s="25">
        <v>42767</v>
      </c>
      <c r="GB16" s="25">
        <v>42795</v>
      </c>
      <c r="GC16" s="25">
        <v>42826</v>
      </c>
      <c r="GD16" s="25">
        <v>42856</v>
      </c>
      <c r="GE16" s="25">
        <v>42887</v>
      </c>
      <c r="GF16" s="25">
        <v>42917</v>
      </c>
      <c r="GG16" s="25">
        <v>42948</v>
      </c>
      <c r="GH16" s="25">
        <v>42979</v>
      </c>
      <c r="GI16" s="25">
        <v>43009</v>
      </c>
      <c r="GJ16" s="25">
        <v>43040</v>
      </c>
      <c r="GK16" s="25">
        <v>43070</v>
      </c>
      <c r="GL16" s="25">
        <v>43101</v>
      </c>
      <c r="GM16" s="25">
        <v>43132</v>
      </c>
      <c r="GN16" s="25">
        <v>43160</v>
      </c>
      <c r="GO16" s="25">
        <v>43191</v>
      </c>
      <c r="GP16" s="25">
        <v>43221</v>
      </c>
      <c r="GQ16" s="25">
        <v>43252</v>
      </c>
      <c r="GR16" s="25">
        <v>43282</v>
      </c>
      <c r="GS16" s="25">
        <v>43313</v>
      </c>
      <c r="GT16" s="25">
        <v>43344</v>
      </c>
      <c r="GU16" s="25">
        <v>43374</v>
      </c>
      <c r="GV16" s="25">
        <v>43405</v>
      </c>
      <c r="GW16" s="25">
        <v>43435</v>
      </c>
      <c r="GX16" s="25">
        <v>43466</v>
      </c>
      <c r="GY16" s="25">
        <v>43497</v>
      </c>
      <c r="GZ16" s="25">
        <v>43525</v>
      </c>
      <c r="HA16" s="25">
        <v>43556</v>
      </c>
      <c r="HB16" s="25">
        <v>43586</v>
      </c>
      <c r="HC16" s="25">
        <v>43617</v>
      </c>
      <c r="HD16" s="25">
        <v>43647</v>
      </c>
      <c r="HE16" s="25">
        <v>43678</v>
      </c>
      <c r="HF16" s="25">
        <v>43709</v>
      </c>
      <c r="HG16" s="25">
        <v>43739</v>
      </c>
      <c r="HH16" s="25">
        <v>43770</v>
      </c>
      <c r="HI16" s="25">
        <v>43800</v>
      </c>
      <c r="HJ16" s="25">
        <v>43831</v>
      </c>
      <c r="HK16" s="25">
        <v>43862</v>
      </c>
      <c r="HL16" s="25">
        <v>43891</v>
      </c>
      <c r="HM16" s="25">
        <v>43922</v>
      </c>
      <c r="HN16" s="25">
        <v>43952</v>
      </c>
      <c r="HO16" s="25">
        <v>43983</v>
      </c>
      <c r="HP16" s="25">
        <v>44013</v>
      </c>
      <c r="HQ16" s="25">
        <v>44044</v>
      </c>
      <c r="HR16" s="25">
        <v>44075</v>
      </c>
      <c r="HS16" s="25">
        <v>44105</v>
      </c>
      <c r="HT16" s="25">
        <v>44136</v>
      </c>
      <c r="HU16" s="25">
        <v>44166</v>
      </c>
      <c r="HV16" s="25">
        <v>44197</v>
      </c>
      <c r="HW16" s="25">
        <v>44228</v>
      </c>
      <c r="HX16" s="25">
        <v>44256</v>
      </c>
      <c r="HY16" s="25">
        <v>44287</v>
      </c>
      <c r="HZ16" s="25">
        <v>44317</v>
      </c>
      <c r="IA16" s="25">
        <v>44348</v>
      </c>
      <c r="IB16" s="25">
        <v>44378</v>
      </c>
      <c r="IC16" s="25">
        <v>44409</v>
      </c>
      <c r="ID16" s="25">
        <v>44440</v>
      </c>
      <c r="IE16" s="25">
        <v>44470</v>
      </c>
      <c r="IF16" s="25">
        <v>44501</v>
      </c>
      <c r="IG16" s="25">
        <v>44531</v>
      </c>
      <c r="IH16" s="25">
        <v>44562</v>
      </c>
      <c r="II16" s="25">
        <v>44593</v>
      </c>
      <c r="IJ16" s="25">
        <v>44621</v>
      </c>
      <c r="IK16" s="25">
        <v>44652</v>
      </c>
      <c r="IL16" s="25">
        <v>44682</v>
      </c>
      <c r="IM16" s="25">
        <v>44713</v>
      </c>
      <c r="IN16" s="25">
        <v>44743</v>
      </c>
      <c r="IO16" s="25">
        <v>44774</v>
      </c>
      <c r="IP16" s="25">
        <v>44805</v>
      </c>
      <c r="IQ16" s="25">
        <v>44835</v>
      </c>
      <c r="IR16" s="25">
        <v>44866</v>
      </c>
      <c r="IS16" s="31">
        <v>44896</v>
      </c>
      <c r="IT16" s="25">
        <v>44927</v>
      </c>
      <c r="IU16" s="25">
        <v>44958</v>
      </c>
      <c r="IV16" s="25">
        <v>44986</v>
      </c>
      <c r="IW16" s="25">
        <v>45017</v>
      </c>
      <c r="IX16" s="25">
        <v>45047</v>
      </c>
      <c r="IY16" s="25">
        <v>45078</v>
      </c>
      <c r="IZ16" s="25">
        <v>45108</v>
      </c>
      <c r="JA16" s="25">
        <v>45139</v>
      </c>
      <c r="JB16" s="25">
        <v>45170</v>
      </c>
      <c r="JC16" s="25">
        <v>45200</v>
      </c>
      <c r="JD16" s="25">
        <v>45231</v>
      </c>
      <c r="JE16" s="25">
        <v>45261</v>
      </c>
      <c r="JF16" s="25">
        <v>45292</v>
      </c>
      <c r="JG16" s="25">
        <v>45323</v>
      </c>
      <c r="JH16" s="25">
        <v>45352</v>
      </c>
      <c r="JI16" s="25">
        <v>45383</v>
      </c>
      <c r="JJ16" s="25">
        <v>45413</v>
      </c>
      <c r="JK16" s="25">
        <v>45444</v>
      </c>
      <c r="JL16" s="25">
        <v>45474</v>
      </c>
      <c r="JM16" s="25">
        <v>45505</v>
      </c>
      <c r="JN16" s="25">
        <v>45536</v>
      </c>
      <c r="JO16" s="25">
        <v>45566</v>
      </c>
      <c r="JP16" s="25">
        <v>45597</v>
      </c>
      <c r="JQ16" s="25">
        <v>45627</v>
      </c>
      <c r="JR16" s="25">
        <v>45658</v>
      </c>
      <c r="JS16" s="25">
        <v>45689</v>
      </c>
      <c r="JT16" s="25">
        <v>45717</v>
      </c>
      <c r="JU16" s="25">
        <v>45748</v>
      </c>
      <c r="JV16" s="25">
        <v>45778</v>
      </c>
      <c r="JW16" s="25">
        <v>45809</v>
      </c>
      <c r="JX16" s="25">
        <v>45839</v>
      </c>
      <c r="JY16" s="25">
        <v>45870</v>
      </c>
      <c r="JZ16" s="25">
        <v>45901</v>
      </c>
    </row>
    <row r="17" spans="1:286" x14ac:dyDescent="0.25">
      <c r="A17" s="38" t="s">
        <v>18</v>
      </c>
      <c r="C17" s="28">
        <f t="shared" ref="C17:BN20" si="0">C4/B4*100</f>
        <v>103.23344001428856</v>
      </c>
      <c r="D17" s="28">
        <f t="shared" si="0"/>
        <v>105.904081480564</v>
      </c>
      <c r="E17" s="28">
        <f t="shared" si="0"/>
        <v>99.915278732848051</v>
      </c>
      <c r="F17" s="28">
        <f t="shared" si="0"/>
        <v>100.92266297959853</v>
      </c>
      <c r="G17" s="28">
        <f t="shared" si="0"/>
        <v>100.36407307304169</v>
      </c>
      <c r="H17" s="28">
        <f t="shared" si="0"/>
        <v>98.174636750506636</v>
      </c>
      <c r="I17" s="28">
        <f t="shared" si="0"/>
        <v>99.953266884702046</v>
      </c>
      <c r="J17" s="28">
        <f t="shared" si="0"/>
        <v>101.93748936846259</v>
      </c>
      <c r="K17" s="28">
        <f t="shared" si="0"/>
        <v>104.18155530143875</v>
      </c>
      <c r="L17" s="28">
        <f t="shared" si="0"/>
        <v>100.56701041212284</v>
      </c>
      <c r="M17" s="28">
        <f t="shared" si="0"/>
        <v>100.52078097100762</v>
      </c>
      <c r="N17" s="28">
        <f t="shared" si="0"/>
        <v>100.83927271423269</v>
      </c>
      <c r="O17" s="28">
        <f t="shared" si="0"/>
        <v>102.49425121239433</v>
      </c>
      <c r="P17" s="28">
        <f t="shared" si="0"/>
        <v>102.23131993896534</v>
      </c>
      <c r="Q17" s="28">
        <f t="shared" si="0"/>
        <v>100.05154538602442</v>
      </c>
      <c r="R17" s="28">
        <f t="shared" si="0"/>
        <v>100.07197048362681</v>
      </c>
      <c r="S17" s="28">
        <f t="shared" si="0"/>
        <v>100.13239717323414</v>
      </c>
      <c r="T17" s="28">
        <f t="shared" si="0"/>
        <v>99.121188790788878</v>
      </c>
      <c r="U17" s="28">
        <f t="shared" si="0"/>
        <v>99.930801621047067</v>
      </c>
      <c r="V17" s="28">
        <f t="shared" si="0"/>
        <v>99.678401038000473</v>
      </c>
      <c r="W17" s="28">
        <f t="shared" si="0"/>
        <v>98.271950062670811</v>
      </c>
      <c r="X17" s="28">
        <f t="shared" si="0"/>
        <v>100.20930836639981</v>
      </c>
      <c r="Y17" s="28">
        <f t="shared" si="0"/>
        <v>100.21196317904698</v>
      </c>
      <c r="Z17" s="28">
        <f t="shared" si="0"/>
        <v>100.64991971103171</v>
      </c>
      <c r="AA17" s="28">
        <f t="shared" si="0"/>
        <v>99.366764462714812</v>
      </c>
      <c r="AB17" s="28">
        <f t="shared" si="0"/>
        <v>102.75823734508047</v>
      </c>
      <c r="AC17" s="28">
        <f t="shared" si="0"/>
        <v>101.66789606618842</v>
      </c>
      <c r="AD17" s="28">
        <f t="shared" si="0"/>
        <v>101.83738111121832</v>
      </c>
      <c r="AE17" s="28">
        <f t="shared" si="0"/>
        <v>99.823818443476654</v>
      </c>
      <c r="AF17" s="28">
        <f t="shared" si="0"/>
        <v>98.99513189816615</v>
      </c>
      <c r="AG17" s="28">
        <f t="shared" si="0"/>
        <v>102.40349599417333</v>
      </c>
      <c r="AH17" s="28">
        <f t="shared" si="0"/>
        <v>100</v>
      </c>
      <c r="AI17" s="28">
        <f t="shared" si="0"/>
        <v>102.13371266002844</v>
      </c>
      <c r="AJ17" s="28">
        <f t="shared" si="0"/>
        <v>99.442896935933163</v>
      </c>
      <c r="AK17" s="28">
        <f t="shared" si="0"/>
        <v>99.019607843137265</v>
      </c>
      <c r="AL17" s="28">
        <f t="shared" si="0"/>
        <v>103.11173974540311</v>
      </c>
      <c r="AM17" s="28">
        <f t="shared" si="0"/>
        <v>96.707818930041157</v>
      </c>
      <c r="AN17" s="28">
        <f t="shared" si="0"/>
        <v>102.4113475177305</v>
      </c>
      <c r="AO17" s="28">
        <f t="shared" si="0"/>
        <v>107.4792243767313</v>
      </c>
      <c r="AP17" s="28">
        <f t="shared" si="0"/>
        <v>107.98969072164948</v>
      </c>
      <c r="AQ17" s="28">
        <f t="shared" si="0"/>
        <v>103.5799522673031</v>
      </c>
      <c r="AR17" s="28">
        <f t="shared" si="0"/>
        <v>100.11520737327191</v>
      </c>
      <c r="AS17" s="28">
        <f t="shared" si="0"/>
        <v>106.67433831990793</v>
      </c>
      <c r="AT17" s="28">
        <f t="shared" si="0"/>
        <v>99.784250269687163</v>
      </c>
      <c r="AU17" s="28">
        <f t="shared" si="0"/>
        <v>100.97297297297297</v>
      </c>
      <c r="AV17" s="28">
        <f t="shared" si="0"/>
        <v>102.89079229122055</v>
      </c>
      <c r="AW17" s="28">
        <f t="shared" si="0"/>
        <v>99.479708636836634</v>
      </c>
      <c r="AX17" s="28">
        <f t="shared" si="0"/>
        <v>101.77824267782427</v>
      </c>
      <c r="AY17" s="28">
        <f t="shared" si="0"/>
        <v>103.49434737923946</v>
      </c>
      <c r="AZ17" s="28">
        <f t="shared" si="0"/>
        <v>105.95829195630586</v>
      </c>
      <c r="BA17" s="28">
        <f t="shared" si="0"/>
        <v>101.4058106841612</v>
      </c>
      <c r="BB17" s="28">
        <f t="shared" si="0"/>
        <v>101.01663585951943</v>
      </c>
      <c r="BC17" s="28">
        <f t="shared" si="0"/>
        <v>100</v>
      </c>
      <c r="BD17" s="28">
        <f t="shared" si="0"/>
        <v>101.46386093321134</v>
      </c>
      <c r="BE17" s="28">
        <f t="shared" si="0"/>
        <v>109.7385031559964</v>
      </c>
      <c r="BF17" s="28">
        <f t="shared" si="0"/>
        <v>103.28677074774035</v>
      </c>
      <c r="BG17" s="28">
        <f t="shared" si="0"/>
        <v>103.97772474144789</v>
      </c>
      <c r="BH17" s="28">
        <f t="shared" si="0"/>
        <v>103.97857689364957</v>
      </c>
      <c r="BI17" s="28">
        <f t="shared" si="0"/>
        <v>104.48859455481974</v>
      </c>
      <c r="BJ17" s="28">
        <f t="shared" si="0"/>
        <v>104.22535211267605</v>
      </c>
      <c r="BK17" s="28">
        <f t="shared" si="0"/>
        <v>102.49999999999999</v>
      </c>
      <c r="BL17" s="28">
        <f t="shared" si="0"/>
        <v>102.30718523401453</v>
      </c>
      <c r="BM17" s="28">
        <f t="shared" si="0"/>
        <v>103.80154639175257</v>
      </c>
      <c r="BN17" s="28">
        <f t="shared" si="0"/>
        <v>103.72439478584729</v>
      </c>
      <c r="BO17" s="28">
        <f t="shared" ref="BO17:DZ20" si="1">BO4/BN4*100</f>
        <v>102.69299820466786</v>
      </c>
      <c r="BP17" s="28">
        <f t="shared" si="1"/>
        <v>101.57342657342659</v>
      </c>
      <c r="BQ17" s="28">
        <f t="shared" si="1"/>
        <v>102.18014916810097</v>
      </c>
      <c r="BR17" s="28">
        <f t="shared" si="1"/>
        <v>100.22459292532287</v>
      </c>
      <c r="BS17" s="28">
        <f t="shared" si="1"/>
        <v>101.68067226890756</v>
      </c>
      <c r="BT17" s="28">
        <f t="shared" si="1"/>
        <v>100.44077134986225</v>
      </c>
      <c r="BU17" s="28">
        <f t="shared" si="1"/>
        <v>100.71311025781679</v>
      </c>
      <c r="BV17" s="28">
        <f t="shared" si="1"/>
        <v>100.21786492374729</v>
      </c>
      <c r="BW17" s="28">
        <f t="shared" si="1"/>
        <v>102.28260869565217</v>
      </c>
      <c r="BX17" s="28">
        <f t="shared" si="1"/>
        <v>100.69075451647183</v>
      </c>
      <c r="BY17" s="28">
        <f t="shared" si="1"/>
        <v>103.69393139841689</v>
      </c>
      <c r="BZ17" s="28">
        <f t="shared" si="1"/>
        <v>103.5114503816794</v>
      </c>
      <c r="CA17" s="28">
        <f t="shared" si="1"/>
        <v>103.39233038348084</v>
      </c>
      <c r="CB17" s="28">
        <f t="shared" si="1"/>
        <v>103.51878269139326</v>
      </c>
      <c r="CC17" s="28">
        <f t="shared" si="1"/>
        <v>100.96463022508037</v>
      </c>
      <c r="CD17" s="28">
        <f t="shared" si="1"/>
        <v>100.81892629663329</v>
      </c>
      <c r="CE17" s="28">
        <f t="shared" si="1"/>
        <v>100.99277978339349</v>
      </c>
      <c r="CF17" s="28">
        <f t="shared" si="1"/>
        <v>100.80428954423593</v>
      </c>
      <c r="CG17" s="28">
        <f t="shared" si="1"/>
        <v>102.08333333333334</v>
      </c>
      <c r="CH17" s="28">
        <f t="shared" si="1"/>
        <v>99.088145896656528</v>
      </c>
      <c r="CI17" s="28">
        <f t="shared" si="1"/>
        <v>95.880806310254158</v>
      </c>
      <c r="CJ17" s="28">
        <f t="shared" si="1"/>
        <v>107.12979890310785</v>
      </c>
      <c r="CK17" s="28">
        <f t="shared" si="1"/>
        <v>94.88054607508532</v>
      </c>
      <c r="CL17" s="28">
        <f t="shared" si="1"/>
        <v>96.492805755395679</v>
      </c>
      <c r="CM17" s="28">
        <f t="shared" si="1"/>
        <v>102.14352283317803</v>
      </c>
      <c r="CN17" s="28">
        <f t="shared" si="1"/>
        <v>101.36861313868613</v>
      </c>
      <c r="CO17" s="28">
        <f t="shared" si="1"/>
        <v>102.88028802880287</v>
      </c>
      <c r="CP17" s="28">
        <f t="shared" si="1"/>
        <v>101.0936132983377</v>
      </c>
      <c r="CQ17" s="28">
        <f t="shared" si="1"/>
        <v>99.43747295543055</v>
      </c>
      <c r="CR17" s="28">
        <f t="shared" si="1"/>
        <v>100.34812880765884</v>
      </c>
      <c r="CS17" s="28">
        <f t="shared" si="1"/>
        <v>101.99479618386815</v>
      </c>
      <c r="CT17" s="28">
        <f t="shared" si="1"/>
        <v>101.23299319727892</v>
      </c>
      <c r="CU17" s="28">
        <f t="shared" si="1"/>
        <v>100.33599328013439</v>
      </c>
      <c r="CV17" s="28">
        <f t="shared" si="1"/>
        <v>100.5860192549184</v>
      </c>
      <c r="CW17" s="28">
        <f t="shared" si="1"/>
        <v>100.24968789013732</v>
      </c>
      <c r="CX17" s="28">
        <f t="shared" si="1"/>
        <v>100.24906600249066</v>
      </c>
      <c r="CY17" s="28">
        <f t="shared" si="1"/>
        <v>100.37267080745342</v>
      </c>
      <c r="CZ17" s="28">
        <f t="shared" si="1"/>
        <v>100.33003300330034</v>
      </c>
      <c r="DA17" s="28">
        <f t="shared" si="1"/>
        <v>100</v>
      </c>
      <c r="DB17" s="28">
        <f t="shared" si="1"/>
        <v>101.52138157894737</v>
      </c>
      <c r="DC17" s="28">
        <f t="shared" si="1"/>
        <v>99.270959902794658</v>
      </c>
      <c r="DD17" s="28">
        <f t="shared" si="1"/>
        <v>99.265605875153</v>
      </c>
      <c r="DE17" s="28">
        <f t="shared" si="1"/>
        <v>98.808055898068233</v>
      </c>
      <c r="DF17" s="28">
        <f t="shared" si="1"/>
        <v>99.209650582362727</v>
      </c>
      <c r="DG17" s="28">
        <f t="shared" si="1"/>
        <v>99.622641509433961</v>
      </c>
      <c r="DH17" s="28">
        <f t="shared" si="1"/>
        <v>102.3989898989899</v>
      </c>
      <c r="DI17" s="28">
        <f t="shared" si="1"/>
        <v>97.86888614878751</v>
      </c>
      <c r="DJ17" s="28">
        <f t="shared" si="1"/>
        <v>100.91762383722151</v>
      </c>
      <c r="DK17" s="28">
        <f t="shared" si="1"/>
        <v>101.20682480233043</v>
      </c>
      <c r="DL17" s="28">
        <f t="shared" si="1"/>
        <v>99.46546052631578</v>
      </c>
      <c r="DM17" s="28">
        <f t="shared" si="1"/>
        <v>100.12401818933444</v>
      </c>
      <c r="DN17" s="28">
        <f t="shared" si="1"/>
        <v>102.06440957886045</v>
      </c>
      <c r="DO17" s="28">
        <f t="shared" si="1"/>
        <v>98.867313915857608</v>
      </c>
      <c r="DP17" s="28">
        <f t="shared" si="1"/>
        <v>98.985270049099825</v>
      </c>
      <c r="DQ17" s="28">
        <f t="shared" si="1"/>
        <v>91.474867724867721</v>
      </c>
      <c r="DR17" s="28">
        <f t="shared" si="1"/>
        <v>99.68684476899719</v>
      </c>
      <c r="DS17" s="28">
        <f t="shared" si="1"/>
        <v>98.276088720461658</v>
      </c>
      <c r="DT17" s="28">
        <f t="shared" si="1"/>
        <v>100.92250922509223</v>
      </c>
      <c r="DU17" s="28">
        <f t="shared" si="1"/>
        <v>100.06855575868371</v>
      </c>
      <c r="DV17" s="28">
        <f t="shared" si="1"/>
        <v>101.30166704727105</v>
      </c>
      <c r="DW17" s="28">
        <f t="shared" si="1"/>
        <v>100.18034265103699</v>
      </c>
      <c r="DX17" s="28">
        <f t="shared" si="1"/>
        <v>100</v>
      </c>
      <c r="DY17" s="28">
        <f t="shared" si="1"/>
        <v>100.67506750675068</v>
      </c>
      <c r="DZ17" s="28">
        <f t="shared" si="1"/>
        <v>100.49172999552971</v>
      </c>
      <c r="EA17" s="28">
        <f t="shared" ref="EA17:GL20" si="2">EA4/DZ4*100</f>
        <v>100.46708185053382</v>
      </c>
      <c r="EB17" s="28">
        <f t="shared" si="2"/>
        <v>100.42063316360417</v>
      </c>
      <c r="EC17" s="28">
        <f t="shared" si="2"/>
        <v>100.74955908289243</v>
      </c>
      <c r="ED17" s="28">
        <f t="shared" si="2"/>
        <v>100.78774617067833</v>
      </c>
      <c r="EE17" s="28">
        <f t="shared" si="2"/>
        <v>100.17368649587495</v>
      </c>
      <c r="EF17" s="28">
        <f t="shared" si="2"/>
        <v>100.69354139575206</v>
      </c>
      <c r="EG17" s="28">
        <f t="shared" si="2"/>
        <v>101.31295738269479</v>
      </c>
      <c r="EH17" s="28">
        <f t="shared" si="2"/>
        <v>100</v>
      </c>
      <c r="EI17" s="28">
        <f t="shared" si="2"/>
        <v>100.21244954323349</v>
      </c>
      <c r="EJ17" s="28">
        <f t="shared" si="2"/>
        <v>100</v>
      </c>
      <c r="EK17" s="28">
        <f t="shared" si="2"/>
        <v>100.04239983040067</v>
      </c>
      <c r="EL17" s="28">
        <f t="shared" si="2"/>
        <v>100.06357279084553</v>
      </c>
      <c r="EM17" s="28">
        <f t="shared" si="2"/>
        <v>100.27530707327404</v>
      </c>
      <c r="EN17" s="28">
        <f t="shared" si="2"/>
        <v>100.14783526927138</v>
      </c>
      <c r="EO17" s="28">
        <f t="shared" si="2"/>
        <v>100.08435259384227</v>
      </c>
      <c r="EP17" s="28">
        <f t="shared" si="2"/>
        <v>100.06321112515803</v>
      </c>
      <c r="EQ17" s="28">
        <f t="shared" si="2"/>
        <v>100.06317119393557</v>
      </c>
      <c r="ER17" s="28">
        <f t="shared" si="2"/>
        <v>100.39983164983167</v>
      </c>
      <c r="ES17" s="28">
        <f t="shared" si="2"/>
        <v>100.23055963110458</v>
      </c>
      <c r="ET17" s="28">
        <f t="shared" si="2"/>
        <v>120.99539941447092</v>
      </c>
      <c r="EU17" s="28">
        <f t="shared" si="2"/>
        <v>100</v>
      </c>
      <c r="EV17" s="28">
        <f t="shared" si="2"/>
        <v>100.017283097131</v>
      </c>
      <c r="EW17" s="28">
        <f t="shared" si="2"/>
        <v>82.7198894072922</v>
      </c>
      <c r="EX17" s="28">
        <f t="shared" si="2"/>
        <v>100</v>
      </c>
      <c r="EY17" s="28">
        <f t="shared" si="2"/>
        <v>100.04177982034679</v>
      </c>
      <c r="EZ17" s="28">
        <f t="shared" si="2"/>
        <v>100.02088118605134</v>
      </c>
      <c r="FA17" s="28">
        <f t="shared" si="2"/>
        <v>100</v>
      </c>
      <c r="FB17" s="28">
        <f t="shared" si="2"/>
        <v>99.937369519832984</v>
      </c>
      <c r="FC17" s="28">
        <f t="shared" si="2"/>
        <v>100</v>
      </c>
      <c r="FD17" s="28">
        <f t="shared" si="2"/>
        <v>100.08355964069355</v>
      </c>
      <c r="FE17" s="28">
        <f t="shared" si="2"/>
        <v>100</v>
      </c>
      <c r="FF17" s="28">
        <f t="shared" si="2"/>
        <v>100.08348987685243</v>
      </c>
      <c r="FG17" s="28">
        <f t="shared" si="2"/>
        <v>100.04171011470282</v>
      </c>
      <c r="FH17" s="28">
        <f t="shared" si="2"/>
        <v>100.06253908692932</v>
      </c>
      <c r="FI17" s="28">
        <f t="shared" si="2"/>
        <v>100.06250000000001</v>
      </c>
      <c r="FJ17" s="28">
        <f t="shared" si="2"/>
        <v>100.02082032063295</v>
      </c>
      <c r="FK17" s="28">
        <f t="shared" si="2"/>
        <v>100.04163197335554</v>
      </c>
      <c r="FL17" s="28">
        <f t="shared" si="2"/>
        <v>100.02080732417811</v>
      </c>
      <c r="FM17" s="28">
        <f t="shared" si="2"/>
        <v>100.06240898689411</v>
      </c>
      <c r="FN17" s="28">
        <f t="shared" si="2"/>
        <v>100.04158004158003</v>
      </c>
      <c r="FO17" s="28">
        <f t="shared" si="2"/>
        <v>100.12468827930175</v>
      </c>
      <c r="FP17" s="28">
        <f t="shared" si="2"/>
        <v>100.08302200083024</v>
      </c>
      <c r="FQ17" s="28">
        <f t="shared" si="2"/>
        <v>100</v>
      </c>
      <c r="FR17" s="28">
        <f t="shared" si="2"/>
        <v>100.04147656574037</v>
      </c>
      <c r="FS17" s="28">
        <f t="shared" si="2"/>
        <v>100.08291873963518</v>
      </c>
      <c r="FT17" s="28">
        <f t="shared" si="2"/>
        <v>100</v>
      </c>
      <c r="FU17" s="28">
        <f t="shared" si="2"/>
        <v>100</v>
      </c>
      <c r="FV17" s="28">
        <f t="shared" si="2"/>
        <v>100.0414250207125</v>
      </c>
      <c r="FW17" s="28">
        <f t="shared" si="2"/>
        <v>100.1656314699793</v>
      </c>
      <c r="FX17" s="28">
        <f t="shared" si="2"/>
        <v>100.04133939644481</v>
      </c>
      <c r="FY17" s="28">
        <f t="shared" si="2"/>
        <v>100</v>
      </c>
      <c r="FZ17" s="28">
        <f t="shared" si="2"/>
        <v>100</v>
      </c>
      <c r="GA17" s="28">
        <f t="shared" si="2"/>
        <v>99.793388429752056</v>
      </c>
      <c r="GB17" s="28">
        <f t="shared" si="2"/>
        <v>97.018633540372662</v>
      </c>
      <c r="GC17" s="28">
        <f t="shared" si="2"/>
        <v>99.018352539479295</v>
      </c>
      <c r="GD17" s="28">
        <f t="shared" si="2"/>
        <v>97.41379310344827</v>
      </c>
      <c r="GE17" s="28">
        <f t="shared" si="2"/>
        <v>100</v>
      </c>
      <c r="GF17" s="28">
        <f t="shared" si="2"/>
        <v>100</v>
      </c>
      <c r="GG17" s="28">
        <f t="shared" si="2"/>
        <v>100</v>
      </c>
      <c r="GH17" s="28">
        <f t="shared" si="2"/>
        <v>100</v>
      </c>
      <c r="GI17" s="28">
        <f t="shared" si="2"/>
        <v>99.557522123893818</v>
      </c>
      <c r="GJ17" s="28">
        <f t="shared" si="2"/>
        <v>100.8888888888889</v>
      </c>
      <c r="GK17" s="28">
        <f t="shared" si="2"/>
        <v>102.20264317180616</v>
      </c>
      <c r="GL17" s="28">
        <f t="shared" si="2"/>
        <v>100.68965517241382</v>
      </c>
      <c r="GM17" s="28">
        <f t="shared" ref="GM17:HP25" si="3">GM4/GL4*100</f>
        <v>100.34246575342465</v>
      </c>
      <c r="GN17" s="28">
        <f t="shared" si="3"/>
        <v>113.31058020477815</v>
      </c>
      <c r="GO17" s="28">
        <f t="shared" si="3"/>
        <v>96.799698795180731</v>
      </c>
      <c r="GP17" s="28">
        <f t="shared" si="3"/>
        <v>104.86192143134967</v>
      </c>
      <c r="GQ17" s="28">
        <f t="shared" si="3"/>
        <v>99.888724035608305</v>
      </c>
      <c r="GR17" s="28">
        <f t="shared" si="3"/>
        <v>103.60193093204603</v>
      </c>
      <c r="GS17" s="28">
        <f t="shared" si="3"/>
        <v>100.14336917562723</v>
      </c>
      <c r="GT17" s="28">
        <f t="shared" si="3"/>
        <v>97.530422333571948</v>
      </c>
      <c r="GU17" s="28">
        <f t="shared" si="3"/>
        <v>98.844036697247702</v>
      </c>
      <c r="GV17" s="28">
        <f t="shared" si="3"/>
        <v>99.053276406162979</v>
      </c>
      <c r="GW17" s="28">
        <f t="shared" si="3"/>
        <v>98.950524737631184</v>
      </c>
      <c r="GX17" s="28">
        <f t="shared" si="3"/>
        <v>99.431818181818173</v>
      </c>
      <c r="GY17" s="28">
        <f t="shared" si="3"/>
        <v>101.02857142857142</v>
      </c>
      <c r="GZ17" s="28">
        <f t="shared" si="3"/>
        <v>101.80995475113122</v>
      </c>
      <c r="HA17" s="28">
        <f t="shared" si="3"/>
        <v>101.03703703703704</v>
      </c>
      <c r="HB17" s="28">
        <f t="shared" si="3"/>
        <v>100.87976539589442</v>
      </c>
      <c r="HC17" s="28">
        <f t="shared" si="3"/>
        <v>100.58139534883721</v>
      </c>
      <c r="HD17" s="28">
        <f t="shared" si="3"/>
        <v>100.32514450867052</v>
      </c>
      <c r="HE17" s="28">
        <f t="shared" si="3"/>
        <v>100.7202016564638</v>
      </c>
      <c r="HF17" s="28">
        <f t="shared" si="3"/>
        <v>101.21558813013945</v>
      </c>
      <c r="HG17" s="28">
        <f t="shared" si="3"/>
        <v>99.823383963263851</v>
      </c>
      <c r="HH17" s="28">
        <f t="shared" si="3"/>
        <v>100.60155697098372</v>
      </c>
      <c r="HI17" s="28">
        <f t="shared" si="3"/>
        <v>92.859655293703824</v>
      </c>
      <c r="HJ17" s="28">
        <f t="shared" si="3"/>
        <v>110.03787878787878</v>
      </c>
      <c r="HK17" s="28">
        <f t="shared" si="3"/>
        <v>100.4130808950086</v>
      </c>
      <c r="HL17" s="28">
        <f t="shared" si="3"/>
        <v>100.95989029825164</v>
      </c>
      <c r="HM17" s="28">
        <f t="shared" si="3"/>
        <v>100</v>
      </c>
      <c r="HN17" s="28">
        <f t="shared" si="3"/>
        <v>98.505942275042429</v>
      </c>
      <c r="HO17" s="28">
        <f t="shared" si="3"/>
        <v>99.276111685625651</v>
      </c>
      <c r="HP17" s="28">
        <f t="shared" si="3"/>
        <v>99.652777777777786</v>
      </c>
      <c r="HQ17" s="28">
        <f>HQ4/HP4*100</f>
        <v>100.17421602787455</v>
      </c>
      <c r="HR17" s="28">
        <f>HR4/HQ4*100</f>
        <v>101.00869565217391</v>
      </c>
      <c r="HS17" s="28">
        <f>HS4/HR4*100</f>
        <v>98.86363636363636</v>
      </c>
      <c r="HT17" s="28">
        <f>HT4/HS4*100</f>
        <v>98.98989898989899</v>
      </c>
      <c r="HU17" s="28">
        <f>HU4/HT4*100</f>
        <v>100</v>
      </c>
      <c r="HV17" s="28">
        <v>100.10555946516537</v>
      </c>
      <c r="HW17" s="28">
        <v>99.472759226713535</v>
      </c>
      <c r="HX17" s="28">
        <v>100.40636042402828</v>
      </c>
      <c r="HY17" s="28">
        <v>101.17895477740629</v>
      </c>
      <c r="HZ17" s="28">
        <v>101.14782608695651</v>
      </c>
      <c r="IA17" s="28">
        <v>101.58184319119673</v>
      </c>
      <c r="IB17" s="28">
        <v>100.40622884224778</v>
      </c>
      <c r="IC17" s="28">
        <v>100.84288604180713</v>
      </c>
      <c r="ID17" s="28">
        <v>101.35406218655967</v>
      </c>
      <c r="IE17" s="28">
        <v>102.12765957446808</v>
      </c>
      <c r="IF17" s="28">
        <v>101.74418604651163</v>
      </c>
      <c r="IG17" s="28">
        <v>101.74603174603175</v>
      </c>
      <c r="IH17" s="28">
        <v>101.18564742589705</v>
      </c>
      <c r="II17" s="28">
        <f t="shared" ref="II17:IS26" si="4">II4/IH4*100</f>
        <v>100.61671292013568</v>
      </c>
      <c r="IJ17" s="28">
        <f t="shared" si="4"/>
        <v>100.82745939319643</v>
      </c>
      <c r="IK17" s="28">
        <f t="shared" si="4"/>
        <v>101.67173252279636</v>
      </c>
      <c r="IL17" s="28">
        <f t="shared" si="4"/>
        <v>101.10612855007473</v>
      </c>
      <c r="IM17" s="28">
        <f t="shared" si="4"/>
        <v>100.08870490833826</v>
      </c>
      <c r="IN17" s="28">
        <f t="shared" si="4"/>
        <v>100.50221565731168</v>
      </c>
      <c r="IO17" s="28">
        <f t="shared" si="4"/>
        <v>100.67607289829512</v>
      </c>
      <c r="IP17" s="28">
        <f t="shared" si="4"/>
        <v>100.61313868613138</v>
      </c>
      <c r="IQ17" s="28">
        <f t="shared" si="4"/>
        <v>99.854904236796287</v>
      </c>
      <c r="IR17" s="28">
        <f t="shared" si="4"/>
        <v>101.3077593722755</v>
      </c>
      <c r="IS17" s="35">
        <f>IS4/IR4*100</f>
        <v>100.48766494549628</v>
      </c>
      <c r="IT17" s="28">
        <f>IT4/IS4*100</f>
        <v>100.92777619183558</v>
      </c>
      <c r="IU17" s="28">
        <f t="shared" ref="IU17:JZ25" si="5">IU4/IT4*100</f>
        <v>100.26870315372649</v>
      </c>
      <c r="IV17" s="28">
        <f t="shared" si="5"/>
        <v>100.0564174894217</v>
      </c>
      <c r="IW17" s="28">
        <f t="shared" si="5"/>
        <v>101.14180998026501</v>
      </c>
      <c r="IX17" s="28">
        <f t="shared" si="5"/>
        <v>101.50522648083624</v>
      </c>
      <c r="IY17" s="28">
        <f t="shared" si="5"/>
        <v>100.70026088150487</v>
      </c>
      <c r="IZ17" s="28">
        <f t="shared" si="5"/>
        <v>101.09080992637034</v>
      </c>
      <c r="JA17" s="28">
        <f t="shared" si="5"/>
        <v>101.05206366333962</v>
      </c>
      <c r="JB17" s="28">
        <f t="shared" si="5"/>
        <v>101.922050186866</v>
      </c>
      <c r="JC17" s="28">
        <f t="shared" si="5"/>
        <v>102.50130958617076</v>
      </c>
      <c r="JD17" s="28">
        <f t="shared" si="5"/>
        <v>101.69924619905456</v>
      </c>
      <c r="JE17" s="28">
        <f t="shared" si="5"/>
        <v>100.82914572864321</v>
      </c>
      <c r="JF17" s="28">
        <f t="shared" si="5"/>
        <v>101.89384500373787</v>
      </c>
      <c r="JG17" s="28">
        <f t="shared" si="5"/>
        <v>101.17388114453412</v>
      </c>
      <c r="JH17" s="28">
        <f t="shared" si="5"/>
        <v>100.12086052695189</v>
      </c>
      <c r="JI17" s="28">
        <f t="shared" si="5"/>
        <v>100.72428778367939</v>
      </c>
      <c r="JJ17" s="28">
        <f t="shared" si="5"/>
        <v>100.52732502396933</v>
      </c>
      <c r="JK17" s="28">
        <f t="shared" si="5"/>
        <v>100.73915116833572</v>
      </c>
      <c r="JL17" s="28">
        <f t="shared" si="5"/>
        <v>100.68639053254438</v>
      </c>
      <c r="JM17" s="28">
        <f t="shared" si="5"/>
        <v>99.482839680300884</v>
      </c>
      <c r="JN17" s="28">
        <f t="shared" si="5"/>
        <v>101.37051039697542</v>
      </c>
      <c r="JO17" s="28">
        <f t="shared" si="5"/>
        <v>104.02097902097903</v>
      </c>
      <c r="JP17" s="28">
        <f t="shared" si="5"/>
        <v>100.61624649859944</v>
      </c>
      <c r="JQ17" s="28">
        <f t="shared" si="5"/>
        <v>100.80178173719376</v>
      </c>
      <c r="JR17" s="28">
        <f t="shared" si="5"/>
        <v>100.81749889527177</v>
      </c>
      <c r="JS17" s="28">
        <f t="shared" si="5"/>
        <v>104.09818102125794</v>
      </c>
      <c r="JT17" s="28">
        <f t="shared" si="5"/>
        <v>100.12631578947368</v>
      </c>
      <c r="JU17" s="28">
        <f t="shared" si="5"/>
        <v>101.13540790580319</v>
      </c>
      <c r="JV17" s="28">
        <f t="shared" si="5"/>
        <v>100.56133056133056</v>
      </c>
      <c r="JW17" s="28">
        <f t="shared" si="5"/>
        <v>102.29481083316105</v>
      </c>
      <c r="JX17" s="28">
        <f t="shared" si="5"/>
        <v>101.13177041228778</v>
      </c>
      <c r="JY17" s="28">
        <f t="shared" si="5"/>
        <v>100.67945643485213</v>
      </c>
      <c r="JZ17" s="28">
        <f>JZ4/JY4*100</f>
        <v>101.88566891623661</v>
      </c>
    </row>
    <row r="18" spans="1:286" x14ac:dyDescent="0.25">
      <c r="A18" s="38" t="s">
        <v>19</v>
      </c>
      <c r="C18" s="28">
        <f t="shared" si="0"/>
        <v>101.56305415708584</v>
      </c>
      <c r="D18" s="28">
        <f t="shared" si="0"/>
        <v>105.24379705207951</v>
      </c>
      <c r="E18" s="28">
        <f t="shared" si="0"/>
        <v>100.05090074427758</v>
      </c>
      <c r="F18" s="28">
        <f t="shared" si="0"/>
        <v>101.27617460295282</v>
      </c>
      <c r="G18" s="28">
        <f t="shared" si="0"/>
        <v>100.29604750795491</v>
      </c>
      <c r="H18" s="28">
        <f t="shared" si="0"/>
        <v>98.105206995117982</v>
      </c>
      <c r="I18" s="28">
        <f t="shared" si="0"/>
        <v>100.34923858815068</v>
      </c>
      <c r="J18" s="28">
        <f t="shared" si="0"/>
        <v>102.08409691670437</v>
      </c>
      <c r="K18" s="28">
        <f t="shared" si="0"/>
        <v>104.29231268782982</v>
      </c>
      <c r="L18" s="28">
        <f t="shared" si="0"/>
        <v>100.84144416798844</v>
      </c>
      <c r="M18" s="28">
        <f t="shared" si="0"/>
        <v>100.17791615280258</v>
      </c>
      <c r="N18" s="28">
        <f t="shared" si="0"/>
        <v>99.369847975227515</v>
      </c>
      <c r="O18" s="28">
        <f t="shared" si="0"/>
        <v>102.58617430765207</v>
      </c>
      <c r="P18" s="28">
        <f t="shared" si="0"/>
        <v>101.59833823328806</v>
      </c>
      <c r="Q18" s="28">
        <f t="shared" si="0"/>
        <v>100.37826144941131</v>
      </c>
      <c r="R18" s="28">
        <f t="shared" si="0"/>
        <v>100.33629817087584</v>
      </c>
      <c r="S18" s="28">
        <f t="shared" si="0"/>
        <v>100.04484325377851</v>
      </c>
      <c r="T18" s="28">
        <f t="shared" si="0"/>
        <v>99.150053435165901</v>
      </c>
      <c r="U18" s="28">
        <f t="shared" si="0"/>
        <v>99.814737972242156</v>
      </c>
      <c r="V18" s="28">
        <f t="shared" si="0"/>
        <v>99.534199362726781</v>
      </c>
      <c r="W18" s="28">
        <f t="shared" si="0"/>
        <v>98.158456514308014</v>
      </c>
      <c r="X18" s="28">
        <f t="shared" si="0"/>
        <v>100.23869064911453</v>
      </c>
      <c r="Y18" s="28">
        <f t="shared" si="0"/>
        <v>100.12519957456296</v>
      </c>
      <c r="Z18" s="28">
        <f t="shared" si="0"/>
        <v>100.6211496121223</v>
      </c>
      <c r="AA18" s="28">
        <f t="shared" si="0"/>
        <v>99.280881347362438</v>
      </c>
      <c r="AB18" s="28">
        <f t="shared" si="0"/>
        <v>102.97710015588468</v>
      </c>
      <c r="AC18" s="28">
        <f t="shared" si="0"/>
        <v>101.42729671619053</v>
      </c>
      <c r="AD18" s="28">
        <f t="shared" si="0"/>
        <v>103.80784443322509</v>
      </c>
      <c r="AE18" s="28">
        <f t="shared" si="0"/>
        <v>100.83499282625684</v>
      </c>
      <c r="AF18" s="28">
        <f t="shared" si="0"/>
        <v>98.126675377999263</v>
      </c>
      <c r="AG18" s="28">
        <f t="shared" si="0"/>
        <v>99.138755980861248</v>
      </c>
      <c r="AH18" s="28">
        <f t="shared" si="0"/>
        <v>100.57915057915059</v>
      </c>
      <c r="AI18" s="28">
        <f t="shared" si="0"/>
        <v>100.76775431861805</v>
      </c>
      <c r="AJ18" s="28">
        <f t="shared" si="0"/>
        <v>100.0952380952381</v>
      </c>
      <c r="AK18" s="28">
        <f t="shared" si="0"/>
        <v>97.811607992388204</v>
      </c>
      <c r="AL18" s="28">
        <f t="shared" si="0"/>
        <v>103.59922178988327</v>
      </c>
      <c r="AM18" s="28">
        <f t="shared" si="0"/>
        <v>97.183098591549296</v>
      </c>
      <c r="AN18" s="28">
        <f t="shared" si="0"/>
        <v>100.48309178743962</v>
      </c>
      <c r="AO18" s="28">
        <f t="shared" si="0"/>
        <v>107.98076923076923</v>
      </c>
      <c r="AP18" s="28">
        <f t="shared" si="0"/>
        <v>107.03472840605521</v>
      </c>
      <c r="AQ18" s="28">
        <f t="shared" si="0"/>
        <v>101.9134775374376</v>
      </c>
      <c r="AR18" s="28">
        <f t="shared" si="0"/>
        <v>112.73469387755102</v>
      </c>
      <c r="AS18" s="28">
        <f t="shared" si="0"/>
        <v>112.52715423606084</v>
      </c>
      <c r="AT18" s="28">
        <f t="shared" si="0"/>
        <v>100.25740025740026</v>
      </c>
      <c r="AU18" s="28">
        <f t="shared" si="0"/>
        <v>101.4762516046213</v>
      </c>
      <c r="AV18" s="28">
        <f t="shared" si="0"/>
        <v>104.17457305502846</v>
      </c>
      <c r="AW18" s="28">
        <f t="shared" si="0"/>
        <v>99.392835458409238</v>
      </c>
      <c r="AX18" s="28">
        <f t="shared" si="0"/>
        <v>102.13805742211362</v>
      </c>
      <c r="AY18" s="28">
        <f t="shared" si="0"/>
        <v>101.55502392344498</v>
      </c>
      <c r="AZ18" s="28">
        <f t="shared" si="0"/>
        <v>101.82567726737336</v>
      </c>
      <c r="BA18" s="28">
        <f t="shared" si="0"/>
        <v>101.33024869866975</v>
      </c>
      <c r="BB18" s="28">
        <f t="shared" si="0"/>
        <v>100.39954337899543</v>
      </c>
      <c r="BC18" s="28">
        <f t="shared" si="0"/>
        <v>100</v>
      </c>
      <c r="BD18" s="28">
        <f t="shared" si="0"/>
        <v>101.5349630471859</v>
      </c>
      <c r="BE18" s="28">
        <f t="shared" si="0"/>
        <v>114.94960806270997</v>
      </c>
      <c r="BF18" s="28">
        <f t="shared" si="0"/>
        <v>105.65026790063321</v>
      </c>
      <c r="BG18" s="28">
        <f t="shared" si="0"/>
        <v>104.65652374366068</v>
      </c>
      <c r="BH18" s="28">
        <f t="shared" si="0"/>
        <v>104.27312775330397</v>
      </c>
      <c r="BI18" s="28">
        <f t="shared" si="0"/>
        <v>103.92902408111533</v>
      </c>
      <c r="BJ18" s="28">
        <f t="shared" si="0"/>
        <v>101.75040650406504</v>
      </c>
      <c r="BK18" s="28">
        <f t="shared" si="0"/>
        <v>102.79417992377331</v>
      </c>
      <c r="BL18" s="28">
        <f t="shared" si="0"/>
        <v>103.76991838321025</v>
      </c>
      <c r="BM18" s="28">
        <f t="shared" si="0"/>
        <v>102.73408239700375</v>
      </c>
      <c r="BN18" s="28">
        <f t="shared" si="0"/>
        <v>103.13525337222021</v>
      </c>
      <c r="BO18" s="28">
        <f t="shared" si="1"/>
        <v>103.57016613644396</v>
      </c>
      <c r="BP18" s="28">
        <f t="shared" si="1"/>
        <v>102.66211604095562</v>
      </c>
      <c r="BQ18" s="28">
        <f t="shared" si="1"/>
        <v>103.22473404255319</v>
      </c>
      <c r="BR18" s="28">
        <f t="shared" si="1"/>
        <v>101.44927536231884</v>
      </c>
      <c r="BS18" s="28">
        <f t="shared" si="1"/>
        <v>102.66666666666666</v>
      </c>
      <c r="BT18" s="28">
        <f t="shared" si="1"/>
        <v>102.50463821892393</v>
      </c>
      <c r="BU18" s="28">
        <f t="shared" si="1"/>
        <v>102.26244343891402</v>
      </c>
      <c r="BV18" s="28">
        <f t="shared" si="1"/>
        <v>100.53097345132744</v>
      </c>
      <c r="BW18" s="28">
        <f t="shared" si="1"/>
        <v>101.37910798122066</v>
      </c>
      <c r="BX18" s="28">
        <f t="shared" si="1"/>
        <v>101.7655571635311</v>
      </c>
      <c r="BY18" s="28">
        <f t="shared" si="1"/>
        <v>101.62116040955631</v>
      </c>
      <c r="BZ18" s="28">
        <f t="shared" si="1"/>
        <v>101.79121186677862</v>
      </c>
      <c r="CA18" s="28">
        <f t="shared" si="1"/>
        <v>101.67720648886444</v>
      </c>
      <c r="CB18" s="28">
        <f t="shared" si="1"/>
        <v>102.29853975121688</v>
      </c>
      <c r="CC18" s="28">
        <f t="shared" si="1"/>
        <v>102.35263018768173</v>
      </c>
      <c r="CD18" s="28">
        <f t="shared" si="1"/>
        <v>100.85227272727273</v>
      </c>
      <c r="CE18" s="28">
        <f t="shared" si="1"/>
        <v>102.07426376440461</v>
      </c>
      <c r="CF18" s="28">
        <f t="shared" si="1"/>
        <v>101.70597089814351</v>
      </c>
      <c r="CG18" s="28">
        <f t="shared" si="1"/>
        <v>101.77602368031573</v>
      </c>
      <c r="CH18" s="28">
        <f t="shared" si="1"/>
        <v>99.515269025690742</v>
      </c>
      <c r="CI18" s="28">
        <f t="shared" si="1"/>
        <v>98.757915245981494</v>
      </c>
      <c r="CJ18" s="28">
        <f t="shared" si="1"/>
        <v>100.09864364981505</v>
      </c>
      <c r="CK18" s="28">
        <f t="shared" si="1"/>
        <v>97.166789849716679</v>
      </c>
      <c r="CL18" s="28">
        <f t="shared" si="1"/>
        <v>97.920892494929006</v>
      </c>
      <c r="CM18" s="28">
        <f t="shared" si="1"/>
        <v>99.223200414293117</v>
      </c>
      <c r="CN18" s="28">
        <f t="shared" si="1"/>
        <v>97.468684759916485</v>
      </c>
      <c r="CO18" s="28">
        <f t="shared" si="1"/>
        <v>99.625167336010705</v>
      </c>
      <c r="CP18" s="28">
        <f t="shared" si="1"/>
        <v>100.99435635581833</v>
      </c>
      <c r="CQ18" s="28">
        <f t="shared" si="1"/>
        <v>101.56998403406068</v>
      </c>
      <c r="CR18" s="28">
        <f t="shared" si="1"/>
        <v>101.23133350799056</v>
      </c>
      <c r="CS18" s="28">
        <f t="shared" si="1"/>
        <v>102.01863354037266</v>
      </c>
      <c r="CT18" s="28">
        <f t="shared" si="1"/>
        <v>101.21765601217656</v>
      </c>
      <c r="CU18" s="28">
        <f t="shared" si="1"/>
        <v>99.749373433583955</v>
      </c>
      <c r="CV18" s="28">
        <f t="shared" si="1"/>
        <v>100.80402010050251</v>
      </c>
      <c r="CW18" s="28">
        <f t="shared" si="1"/>
        <v>100.7976071784646</v>
      </c>
      <c r="CX18" s="28">
        <f t="shared" si="1"/>
        <v>101.33531157270031</v>
      </c>
      <c r="CY18" s="28">
        <f t="shared" si="1"/>
        <v>101.26891166422645</v>
      </c>
      <c r="CZ18" s="28">
        <f t="shared" si="1"/>
        <v>98.98795180722891</v>
      </c>
      <c r="DA18" s="28">
        <f t="shared" si="1"/>
        <v>100.82765335929894</v>
      </c>
      <c r="DB18" s="28">
        <f t="shared" si="1"/>
        <v>99.879285369386778</v>
      </c>
      <c r="DC18" s="28">
        <f t="shared" si="1"/>
        <v>100.04834421078075</v>
      </c>
      <c r="DD18" s="28">
        <f t="shared" si="1"/>
        <v>100.26576467745831</v>
      </c>
      <c r="DE18" s="28">
        <f t="shared" si="1"/>
        <v>99.060240963855421</v>
      </c>
      <c r="DF18" s="28">
        <f t="shared" si="1"/>
        <v>98.954025784480663</v>
      </c>
      <c r="DG18" s="28">
        <f t="shared" si="1"/>
        <v>99.188790560471972</v>
      </c>
      <c r="DH18" s="28">
        <f t="shared" si="1"/>
        <v>98.959107806691449</v>
      </c>
      <c r="DI18" s="28">
        <f t="shared" si="1"/>
        <v>98.447282744803417</v>
      </c>
      <c r="DJ18" s="28">
        <f t="shared" si="1"/>
        <v>99.87280590180616</v>
      </c>
      <c r="DK18" s="28">
        <f t="shared" si="1"/>
        <v>98.828323993886912</v>
      </c>
      <c r="DL18" s="28">
        <f t="shared" si="1"/>
        <v>100.72164948453607</v>
      </c>
      <c r="DM18" s="28">
        <f t="shared" si="1"/>
        <v>99.590583418628455</v>
      </c>
      <c r="DN18" s="28">
        <f t="shared" si="1"/>
        <v>97.302158273381295</v>
      </c>
      <c r="DO18" s="28">
        <f t="shared" si="1"/>
        <v>98.336414048059154</v>
      </c>
      <c r="DP18" s="28">
        <f t="shared" si="1"/>
        <v>101.36949516648765</v>
      </c>
      <c r="DQ18" s="28">
        <f t="shared" si="1"/>
        <v>98.337483443708607</v>
      </c>
      <c r="DR18" s="28">
        <f t="shared" si="1"/>
        <v>99.983298493631878</v>
      </c>
      <c r="DS18" s="28">
        <f t="shared" si="1"/>
        <v>96.992687829034224</v>
      </c>
      <c r="DT18" s="28">
        <f t="shared" si="1"/>
        <v>101.47222222222223</v>
      </c>
      <c r="DU18" s="28">
        <f t="shared" si="1"/>
        <v>100.68436901177115</v>
      </c>
      <c r="DV18" s="28">
        <f t="shared" si="1"/>
        <v>100.12234910277324</v>
      </c>
      <c r="DW18" s="28">
        <f t="shared" si="1"/>
        <v>100.47522063815342</v>
      </c>
      <c r="DX18" s="28">
        <f t="shared" si="1"/>
        <v>100.74324324324324</v>
      </c>
      <c r="DY18" s="28">
        <f t="shared" si="1"/>
        <v>100</v>
      </c>
      <c r="DZ18" s="28">
        <f t="shared" si="1"/>
        <v>100.33534540576794</v>
      </c>
      <c r="EA18" s="28">
        <f t="shared" si="2"/>
        <v>101.04278074866311</v>
      </c>
      <c r="EB18" s="28">
        <f t="shared" si="2"/>
        <v>100.13231013495634</v>
      </c>
      <c r="EC18" s="28">
        <f t="shared" si="2"/>
        <v>100.21141649048626</v>
      </c>
      <c r="ED18" s="28">
        <f t="shared" si="2"/>
        <v>100.15822784810126</v>
      </c>
      <c r="EE18" s="28">
        <f t="shared" si="2"/>
        <v>100.34228541337546</v>
      </c>
      <c r="EF18" s="28">
        <f t="shared" si="2"/>
        <v>100.15743899239044</v>
      </c>
      <c r="EG18" s="28">
        <f t="shared" si="2"/>
        <v>100.65496463190988</v>
      </c>
      <c r="EH18" s="28">
        <f t="shared" si="2"/>
        <v>100</v>
      </c>
      <c r="EI18" s="28">
        <f t="shared" si="2"/>
        <v>100</v>
      </c>
      <c r="EJ18" s="28">
        <f t="shared" si="2"/>
        <v>100</v>
      </c>
      <c r="EK18" s="28">
        <f t="shared" si="2"/>
        <v>100.13014055179595</v>
      </c>
      <c r="EL18" s="28">
        <f t="shared" si="2"/>
        <v>100</v>
      </c>
      <c r="EM18" s="28">
        <f t="shared" si="2"/>
        <v>100</v>
      </c>
      <c r="EN18" s="28">
        <f t="shared" si="2"/>
        <v>100.15596568754874</v>
      </c>
      <c r="EO18" s="28">
        <f t="shared" si="2"/>
        <v>100.06488450558007</v>
      </c>
      <c r="EP18" s="28">
        <f t="shared" si="2"/>
        <v>100.01296848657762</v>
      </c>
      <c r="EQ18" s="28">
        <f t="shared" si="2"/>
        <v>100</v>
      </c>
      <c r="ER18" s="28">
        <f t="shared" si="2"/>
        <v>100.12966804979253</v>
      </c>
      <c r="ES18" s="28">
        <f t="shared" si="2"/>
        <v>93.550893550893548</v>
      </c>
      <c r="ET18" s="28">
        <f t="shared" si="2"/>
        <v>107.46124031007751</v>
      </c>
      <c r="EU18" s="28">
        <f t="shared" si="2"/>
        <v>100</v>
      </c>
      <c r="EV18" s="28">
        <f t="shared" si="2"/>
        <v>100.02576323586243</v>
      </c>
      <c r="EW18" s="28">
        <f t="shared" si="2"/>
        <v>100.07726980038636</v>
      </c>
      <c r="EX18" s="28">
        <f t="shared" si="2"/>
        <v>100.0514734268434</v>
      </c>
      <c r="EY18" s="28">
        <f t="shared" si="2"/>
        <v>100</v>
      </c>
      <c r="EZ18" s="28">
        <f t="shared" si="2"/>
        <v>100.01286173633441</v>
      </c>
      <c r="FA18" s="28">
        <f t="shared" si="2"/>
        <v>100.14146090534979</v>
      </c>
      <c r="FB18" s="28">
        <f t="shared" si="2"/>
        <v>99.935790419930655</v>
      </c>
      <c r="FC18" s="28">
        <f t="shared" si="2"/>
        <v>100.29555384219995</v>
      </c>
      <c r="FD18" s="28">
        <f t="shared" si="2"/>
        <v>100.10249839846253</v>
      </c>
      <c r="FE18" s="28">
        <f t="shared" si="2"/>
        <v>100.03839754255728</v>
      </c>
      <c r="FF18" s="28">
        <f t="shared" si="2"/>
        <v>100.15353121801434</v>
      </c>
      <c r="FG18" s="28">
        <f t="shared" si="2"/>
        <v>100.05109862033726</v>
      </c>
      <c r="FH18" s="28">
        <f t="shared" si="2"/>
        <v>100.08937691521962</v>
      </c>
      <c r="FI18" s="28">
        <f t="shared" si="2"/>
        <v>100</v>
      </c>
      <c r="FJ18" s="28">
        <f t="shared" si="2"/>
        <v>100.03827018752392</v>
      </c>
      <c r="FK18" s="28">
        <f t="shared" si="2"/>
        <v>100.07651109410864</v>
      </c>
      <c r="FL18" s="28">
        <f t="shared" si="2"/>
        <v>100.05096839959225</v>
      </c>
      <c r="FM18" s="28">
        <f t="shared" si="2"/>
        <v>100.0127356087621</v>
      </c>
      <c r="FN18" s="28">
        <f t="shared" si="2"/>
        <v>100.10187189609066</v>
      </c>
      <c r="FO18" s="28">
        <f t="shared" si="2"/>
        <v>100.06360513929526</v>
      </c>
      <c r="FP18" s="28">
        <f t="shared" si="2"/>
        <v>100.07627765064836</v>
      </c>
      <c r="FQ18" s="28">
        <f t="shared" si="2"/>
        <v>100</v>
      </c>
      <c r="FR18" s="28">
        <f t="shared" si="2"/>
        <v>100.03810975609757</v>
      </c>
      <c r="FS18" s="28">
        <f t="shared" si="2"/>
        <v>100.06349206349205</v>
      </c>
      <c r="FT18" s="28">
        <f t="shared" si="2"/>
        <v>100</v>
      </c>
      <c r="FU18" s="28">
        <f t="shared" si="2"/>
        <v>100</v>
      </c>
      <c r="FV18" s="28">
        <f t="shared" si="2"/>
        <v>100.01269035532997</v>
      </c>
      <c r="FW18" s="28">
        <f t="shared" si="2"/>
        <v>100.05075498033244</v>
      </c>
      <c r="FX18" s="28">
        <f t="shared" si="2"/>
        <v>100.06341154090043</v>
      </c>
      <c r="FY18" s="28">
        <f t="shared" si="2"/>
        <v>100.03802281368822</v>
      </c>
      <c r="FZ18" s="28">
        <f t="shared" si="2"/>
        <v>100</v>
      </c>
      <c r="GA18" s="28">
        <f t="shared" si="2"/>
        <v>99.911313822374254</v>
      </c>
      <c r="GB18" s="28">
        <f t="shared" si="2"/>
        <v>98.516358102967288</v>
      </c>
      <c r="GC18" s="28">
        <f t="shared" si="2"/>
        <v>95.726605740764583</v>
      </c>
      <c r="GD18" s="28">
        <f t="shared" si="2"/>
        <v>95.96611536910045</v>
      </c>
      <c r="GE18" s="28">
        <f t="shared" si="2"/>
        <v>100.56045957685302</v>
      </c>
      <c r="GF18" s="28">
        <f t="shared" si="2"/>
        <v>100</v>
      </c>
      <c r="GG18" s="28">
        <f t="shared" si="2"/>
        <v>99.95819980493242</v>
      </c>
      <c r="GH18" s="28">
        <f t="shared" si="2"/>
        <v>100.75271814887093</v>
      </c>
      <c r="GI18" s="28">
        <f t="shared" si="2"/>
        <v>100</v>
      </c>
      <c r="GJ18" s="28">
        <f t="shared" si="2"/>
        <v>100.15218594355284</v>
      </c>
      <c r="GK18" s="28">
        <f t="shared" si="2"/>
        <v>100</v>
      </c>
      <c r="GL18" s="28">
        <f t="shared" si="2"/>
        <v>99.585578118524651</v>
      </c>
      <c r="GM18" s="28">
        <f t="shared" si="3"/>
        <v>100.38840338465806</v>
      </c>
      <c r="GN18" s="28">
        <f t="shared" si="3"/>
        <v>104.98825480171341</v>
      </c>
      <c r="GO18" s="28">
        <f t="shared" si="3"/>
        <v>98.249539352461184</v>
      </c>
      <c r="GP18" s="28">
        <f t="shared" si="3"/>
        <v>100.33489618218351</v>
      </c>
      <c r="GQ18" s="28">
        <f t="shared" si="3"/>
        <v>100.93457943925233</v>
      </c>
      <c r="GR18" s="28">
        <f t="shared" si="3"/>
        <v>100.52910052910053</v>
      </c>
      <c r="GS18" s="28">
        <f t="shared" si="3"/>
        <v>100.60526315789473</v>
      </c>
      <c r="GT18" s="28">
        <f t="shared" si="3"/>
        <v>101.56944807742609</v>
      </c>
      <c r="GU18" s="28">
        <f t="shared" si="3"/>
        <v>100.88848828225598</v>
      </c>
      <c r="GV18" s="28">
        <f t="shared" si="3"/>
        <v>100.40842373962985</v>
      </c>
      <c r="GW18" s="28">
        <f t="shared" si="3"/>
        <v>98.20770306342952</v>
      </c>
      <c r="GX18" s="28">
        <f t="shared" si="3"/>
        <v>99.404607817758219</v>
      </c>
      <c r="GY18" s="28">
        <f t="shared" si="3"/>
        <v>100.57291666666666</v>
      </c>
      <c r="GZ18" s="28">
        <f t="shared" si="3"/>
        <v>103.18487830139824</v>
      </c>
      <c r="HA18" s="28">
        <f t="shared" si="3"/>
        <v>101.00376411543289</v>
      </c>
      <c r="HB18" s="28">
        <f t="shared" si="3"/>
        <v>101.20496894409938</v>
      </c>
      <c r="HC18" s="28">
        <f t="shared" si="3"/>
        <v>100.42960598993496</v>
      </c>
      <c r="HD18" s="28">
        <f t="shared" si="3"/>
        <v>100.40332437056954</v>
      </c>
      <c r="HE18" s="28">
        <f t="shared" si="3"/>
        <v>100.55995130858186</v>
      </c>
      <c r="HF18" s="28">
        <f t="shared" si="3"/>
        <v>101.2468224185934</v>
      </c>
      <c r="HG18" s="28">
        <f t="shared" si="3"/>
        <v>101.74557627929219</v>
      </c>
      <c r="HH18" s="28">
        <f t="shared" si="3"/>
        <v>101.36310223266744</v>
      </c>
      <c r="HI18" s="28">
        <f t="shared" si="3"/>
        <v>89.56642708091816</v>
      </c>
      <c r="HJ18" s="28">
        <f t="shared" si="3"/>
        <v>115.4931400465959</v>
      </c>
      <c r="HK18" s="28">
        <f t="shared" si="3"/>
        <v>101.98363778998095</v>
      </c>
      <c r="HL18" s="28">
        <f t="shared" si="3"/>
        <v>101.40659340659342</v>
      </c>
      <c r="HM18" s="28">
        <f t="shared" si="3"/>
        <v>100</v>
      </c>
      <c r="HN18" s="28">
        <f t="shared" si="3"/>
        <v>99.761595145210222</v>
      </c>
      <c r="HO18" s="28">
        <f t="shared" si="3"/>
        <v>100.95589832717793</v>
      </c>
      <c r="HP18" s="28">
        <f t="shared" si="3"/>
        <v>99.354422207876041</v>
      </c>
      <c r="HQ18" s="28">
        <f t="shared" ref="HQ18:HU24" si="6">HQ5/HP5*100</f>
        <v>100.60645440762399</v>
      </c>
      <c r="HR18" s="28">
        <f t="shared" si="6"/>
        <v>100.91496232508072</v>
      </c>
      <c r="HS18" s="28">
        <f t="shared" si="6"/>
        <v>99.68</v>
      </c>
      <c r="HT18" s="28">
        <f t="shared" si="6"/>
        <v>99.111824505082936</v>
      </c>
      <c r="HU18" s="28">
        <f t="shared" si="6"/>
        <v>100.72338587778017</v>
      </c>
      <c r="HV18" s="28">
        <v>99.817772537249439</v>
      </c>
      <c r="HW18" s="28">
        <v>100.44029209621993</v>
      </c>
      <c r="HX18" s="28">
        <v>100.37421148294665</v>
      </c>
      <c r="HY18" s="28">
        <v>100.97997443544951</v>
      </c>
      <c r="HZ18" s="28">
        <v>101.06540084388185</v>
      </c>
      <c r="IA18" s="28">
        <v>101.35685210312076</v>
      </c>
      <c r="IB18" s="28">
        <v>100.62815364020183</v>
      </c>
      <c r="IC18" s="28">
        <v>102.47646336471551</v>
      </c>
      <c r="ID18" s="28">
        <v>101.69762332734172</v>
      </c>
      <c r="IE18" s="28">
        <v>101.45326001571091</v>
      </c>
      <c r="IF18" s="28">
        <v>101.26790553619823</v>
      </c>
      <c r="IG18" s="28">
        <v>101.63433049794514</v>
      </c>
      <c r="IH18" s="28">
        <v>100.94978371261989</v>
      </c>
      <c r="II18" s="28">
        <f t="shared" si="4"/>
        <v>100.36329762459246</v>
      </c>
      <c r="IJ18" s="28">
        <f t="shared" si="4"/>
        <v>103.73120475218118</v>
      </c>
      <c r="IK18" s="28">
        <f t="shared" si="4"/>
        <v>102.47852541159628</v>
      </c>
      <c r="IL18" s="28">
        <f t="shared" si="4"/>
        <v>101.40574521959311</v>
      </c>
      <c r="IM18" s="28">
        <f t="shared" si="4"/>
        <v>101.44653004993972</v>
      </c>
      <c r="IN18" s="28">
        <f t="shared" si="4"/>
        <v>100.36496350364963</v>
      </c>
      <c r="IO18" s="28">
        <f t="shared" si="4"/>
        <v>100.58350951374206</v>
      </c>
      <c r="IP18" s="28">
        <f t="shared" si="4"/>
        <v>100.33630401883302</v>
      </c>
      <c r="IQ18" s="28">
        <f t="shared" si="4"/>
        <v>100.31841796547678</v>
      </c>
      <c r="IR18" s="28">
        <f>IR5/IQ5*100</f>
        <v>100.65152021383228</v>
      </c>
      <c r="IS18" s="34">
        <f>IS5/IR5*100</f>
        <v>100.298755186722</v>
      </c>
      <c r="IT18" s="28">
        <f t="shared" ref="IT18:JI26" si="7">IT5/IS5*100</f>
        <v>101.33211980804235</v>
      </c>
      <c r="IU18" s="28">
        <f t="shared" si="7"/>
        <v>101.28194659916714</v>
      </c>
      <c r="IV18" s="28">
        <f t="shared" si="7"/>
        <v>101.62044501773622</v>
      </c>
      <c r="IW18" s="28">
        <f t="shared" si="7"/>
        <v>101.18207060690203</v>
      </c>
      <c r="IX18" s="28">
        <f t="shared" si="7"/>
        <v>101.03496942135801</v>
      </c>
      <c r="IY18" s="28">
        <f t="shared" si="7"/>
        <v>101.78488281856278</v>
      </c>
      <c r="IZ18" s="28">
        <f t="shared" si="7"/>
        <v>101.41811527904849</v>
      </c>
      <c r="JA18" s="28">
        <f t="shared" si="7"/>
        <v>101.15772064351225</v>
      </c>
      <c r="JB18" s="28">
        <f t="shared" si="7"/>
        <v>101.96195005945303</v>
      </c>
      <c r="JC18" s="28">
        <f t="shared" si="7"/>
        <v>102.04081632653062</v>
      </c>
      <c r="JD18" s="28">
        <f t="shared" si="7"/>
        <v>100.95714285714286</v>
      </c>
      <c r="JE18" s="28">
        <f t="shared" si="7"/>
        <v>101.34427621338615</v>
      </c>
      <c r="JF18" s="28">
        <f t="shared" si="7"/>
        <v>101.38229544819883</v>
      </c>
      <c r="JG18" s="28">
        <f t="shared" si="7"/>
        <v>101.03980168020934</v>
      </c>
      <c r="JH18" s="28">
        <f t="shared" si="7"/>
        <v>100.20445716622368</v>
      </c>
      <c r="JI18" s="28">
        <f t="shared" si="7"/>
        <v>100.94538529551794</v>
      </c>
      <c r="JJ18" s="28">
        <f t="shared" si="5"/>
        <v>100.26950545748552</v>
      </c>
      <c r="JK18" s="28">
        <f t="shared" si="5"/>
        <v>100.53084262867895</v>
      </c>
      <c r="JL18" s="28">
        <f t="shared" si="5"/>
        <v>100.34757034957555</v>
      </c>
      <c r="JM18" s="28">
        <f t="shared" si="5"/>
        <v>101.28555252114835</v>
      </c>
      <c r="JN18" s="28">
        <f t="shared" si="5"/>
        <v>101.32842299092464</v>
      </c>
      <c r="JO18" s="28">
        <f t="shared" si="5"/>
        <v>103.18016614745586</v>
      </c>
      <c r="JP18" s="28">
        <f t="shared" si="5"/>
        <v>101.3083406717826</v>
      </c>
      <c r="JQ18" s="28">
        <f t="shared" si="5"/>
        <v>99.751645349559169</v>
      </c>
      <c r="JR18" s="28">
        <f t="shared" si="5"/>
        <v>100.24274866177021</v>
      </c>
      <c r="JS18" s="28">
        <f t="shared" si="5"/>
        <v>101.42191865880162</v>
      </c>
      <c r="JT18" s="28">
        <f t="shared" si="5"/>
        <v>99.412268886984208</v>
      </c>
      <c r="JU18" s="28">
        <f t="shared" si="5"/>
        <v>100.44340436014288</v>
      </c>
      <c r="JV18" s="28">
        <f t="shared" si="5"/>
        <v>100.69895769466586</v>
      </c>
      <c r="JW18" s="28">
        <f t="shared" si="5"/>
        <v>100.98027277155381</v>
      </c>
      <c r="JX18" s="28">
        <f t="shared" si="5"/>
        <v>102.08019294543263</v>
      </c>
      <c r="JY18" s="28">
        <f t="shared" si="5"/>
        <v>102.57531010041347</v>
      </c>
      <c r="JZ18" s="28">
        <f t="shared" si="5"/>
        <v>103.88114706898537</v>
      </c>
    </row>
    <row r="19" spans="1:286" x14ac:dyDescent="0.25">
      <c r="A19" s="38" t="s">
        <v>20</v>
      </c>
      <c r="C19" s="28">
        <f t="shared" si="0"/>
        <v>113.72911360061684</v>
      </c>
      <c r="D19" s="28">
        <f t="shared" si="0"/>
        <v>103.65794026983028</v>
      </c>
      <c r="E19" s="28">
        <f t="shared" si="0"/>
        <v>104.67118332045841</v>
      </c>
      <c r="F19" s="28">
        <f t="shared" si="0"/>
        <v>101.36467127466588</v>
      </c>
      <c r="G19" s="28">
        <f t="shared" si="0"/>
        <v>100.40004300503584</v>
      </c>
      <c r="H19" s="28">
        <f t="shared" si="0"/>
        <v>97.489503002374846</v>
      </c>
      <c r="I19" s="28">
        <f t="shared" si="0"/>
        <v>99.624768666745325</v>
      </c>
      <c r="J19" s="28">
        <f t="shared" si="0"/>
        <v>101.99153886779872</v>
      </c>
      <c r="K19" s="28">
        <f t="shared" si="0"/>
        <v>103.23326528611925</v>
      </c>
      <c r="L19" s="28">
        <f t="shared" si="0"/>
        <v>102.34452177599789</v>
      </c>
      <c r="M19" s="28">
        <f t="shared" si="0"/>
        <v>101.004667832652</v>
      </c>
      <c r="N19" s="28">
        <f t="shared" si="0"/>
        <v>93.980624007851944</v>
      </c>
      <c r="O19" s="28">
        <f t="shared" si="0"/>
        <v>107.86458817185492</v>
      </c>
      <c r="P19" s="28">
        <f t="shared" si="0"/>
        <v>105.0392707779594</v>
      </c>
      <c r="Q19" s="28">
        <f t="shared" si="0"/>
        <v>100.43532473660247</v>
      </c>
      <c r="R19" s="28">
        <f t="shared" si="0"/>
        <v>100.45101296797039</v>
      </c>
      <c r="S19" s="28">
        <f t="shared" si="0"/>
        <v>100.05753223871832</v>
      </c>
      <c r="T19" s="28">
        <f t="shared" si="0"/>
        <v>99.158411653831962</v>
      </c>
      <c r="U19" s="28">
        <f t="shared" si="0"/>
        <v>99.943399921042115</v>
      </c>
      <c r="V19" s="28">
        <f t="shared" si="0"/>
        <v>99.604309786456696</v>
      </c>
      <c r="W19" s="28">
        <f t="shared" si="0"/>
        <v>98.223427950625748</v>
      </c>
      <c r="X19" s="28">
        <f t="shared" si="0"/>
        <v>100.24677041474952</v>
      </c>
      <c r="Y19" s="28">
        <f t="shared" si="0"/>
        <v>100.24934737316748</v>
      </c>
      <c r="Z19" s="28">
        <f t="shared" si="0"/>
        <v>100.62512032644139</v>
      </c>
      <c r="AA19" s="28">
        <f t="shared" si="0"/>
        <v>99.342317536314994</v>
      </c>
      <c r="AB19" s="28">
        <f t="shared" si="0"/>
        <v>101.03634497781893</v>
      </c>
      <c r="AC19" s="28">
        <f t="shared" si="0"/>
        <v>99.89542772989607</v>
      </c>
      <c r="AD19" s="28">
        <f t="shared" si="0"/>
        <v>101.46497102915862</v>
      </c>
      <c r="AE19" s="28">
        <f t="shared" si="0"/>
        <v>102.54667135048952</v>
      </c>
      <c r="AF19" s="28">
        <f t="shared" si="0"/>
        <v>100.27691520885236</v>
      </c>
      <c r="AG19" s="28">
        <f t="shared" si="0"/>
        <v>105.51508844953175</v>
      </c>
      <c r="AH19" s="28">
        <f t="shared" si="0"/>
        <v>100.59171597633136</v>
      </c>
      <c r="AI19" s="28">
        <f t="shared" si="0"/>
        <v>101.86274509803923</v>
      </c>
      <c r="AJ19" s="28">
        <f t="shared" si="0"/>
        <v>101.73243503368623</v>
      </c>
      <c r="AK19" s="28">
        <f t="shared" si="0"/>
        <v>97.729422894985802</v>
      </c>
      <c r="AL19" s="28">
        <f t="shared" si="0"/>
        <v>104.64666021297194</v>
      </c>
      <c r="AM19" s="28">
        <f t="shared" si="0"/>
        <v>98.334875115633665</v>
      </c>
      <c r="AN19" s="28">
        <f t="shared" si="0"/>
        <v>101.88146754468485</v>
      </c>
      <c r="AO19" s="28">
        <f t="shared" si="0"/>
        <v>113.75807940904895</v>
      </c>
      <c r="AP19" s="28">
        <f t="shared" si="0"/>
        <v>105.4383116883117</v>
      </c>
      <c r="AQ19" s="28">
        <f t="shared" si="0"/>
        <v>101.84757505773672</v>
      </c>
      <c r="AR19" s="28">
        <f t="shared" si="0"/>
        <v>99.470899470899468</v>
      </c>
      <c r="AS19" s="28">
        <f t="shared" si="0"/>
        <v>106.38297872340425</v>
      </c>
      <c r="AT19" s="28">
        <f t="shared" si="0"/>
        <v>100.21428571428572</v>
      </c>
      <c r="AU19" s="28">
        <f t="shared" si="0"/>
        <v>100.99786172487528</v>
      </c>
      <c r="AV19" s="28">
        <f t="shared" si="0"/>
        <v>103.1757233592096</v>
      </c>
      <c r="AW19" s="28">
        <f t="shared" si="0"/>
        <v>98.426812585499306</v>
      </c>
      <c r="AX19" s="28">
        <f t="shared" si="0"/>
        <v>105.14246004169563</v>
      </c>
      <c r="AY19" s="28">
        <f t="shared" si="0"/>
        <v>101.18968935888964</v>
      </c>
      <c r="AZ19" s="28">
        <f t="shared" si="0"/>
        <v>103.52710646636186</v>
      </c>
      <c r="BA19" s="28">
        <f t="shared" si="0"/>
        <v>102.58675078864353</v>
      </c>
      <c r="BB19" s="28">
        <f t="shared" si="0"/>
        <v>101.23001230012301</v>
      </c>
      <c r="BC19" s="28">
        <f t="shared" si="0"/>
        <v>100</v>
      </c>
      <c r="BD19" s="28">
        <f t="shared" si="0"/>
        <v>101.27582017010937</v>
      </c>
      <c r="BE19" s="28">
        <f t="shared" si="0"/>
        <v>118.23635272945413</v>
      </c>
      <c r="BF19" s="28">
        <f t="shared" si="0"/>
        <v>102.28310502283105</v>
      </c>
      <c r="BG19" s="28">
        <f t="shared" si="0"/>
        <v>103.91865079365078</v>
      </c>
      <c r="BH19" s="28">
        <f t="shared" si="0"/>
        <v>104.05727923627686</v>
      </c>
      <c r="BI19" s="28">
        <f t="shared" si="0"/>
        <v>104.58715596330275</v>
      </c>
      <c r="BJ19" s="28">
        <f t="shared" si="0"/>
        <v>103.50877192982458</v>
      </c>
      <c r="BK19" s="28">
        <f t="shared" si="0"/>
        <v>102.79661016949153</v>
      </c>
      <c r="BL19" s="28">
        <f t="shared" si="0"/>
        <v>103.2151690024732</v>
      </c>
      <c r="BM19" s="28">
        <f t="shared" si="0"/>
        <v>103.03514376996804</v>
      </c>
      <c r="BN19" s="28">
        <f t="shared" si="0"/>
        <v>104.06976744186048</v>
      </c>
      <c r="BO19" s="28">
        <f t="shared" si="1"/>
        <v>102.23463687150837</v>
      </c>
      <c r="BP19" s="28">
        <f t="shared" si="1"/>
        <v>102.44080145719489</v>
      </c>
      <c r="BQ19" s="28">
        <f t="shared" si="1"/>
        <v>104.4452347083926</v>
      </c>
      <c r="BR19" s="28">
        <f t="shared" si="1"/>
        <v>100.57882192713654</v>
      </c>
      <c r="BS19" s="28">
        <f t="shared" si="1"/>
        <v>104.90859851049423</v>
      </c>
      <c r="BT19" s="28">
        <f t="shared" si="1"/>
        <v>102.58147789609554</v>
      </c>
      <c r="BU19" s="28">
        <f t="shared" si="1"/>
        <v>103.17709971689209</v>
      </c>
      <c r="BV19" s="28">
        <f t="shared" si="1"/>
        <v>100.2439024390244</v>
      </c>
      <c r="BW19" s="28">
        <f t="shared" si="1"/>
        <v>103.80170316301704</v>
      </c>
      <c r="BX19" s="28">
        <f t="shared" si="1"/>
        <v>102.08028127746849</v>
      </c>
      <c r="BY19" s="28">
        <f t="shared" si="1"/>
        <v>101.54994259471873</v>
      </c>
      <c r="BZ19" s="28">
        <f t="shared" si="1"/>
        <v>102.37422272470323</v>
      </c>
      <c r="CA19" s="28">
        <f t="shared" si="1"/>
        <v>101.21479845389287</v>
      </c>
      <c r="CB19" s="28">
        <f t="shared" si="1"/>
        <v>103.00054555373706</v>
      </c>
      <c r="CC19" s="28">
        <f t="shared" si="1"/>
        <v>102.06567796610169</v>
      </c>
      <c r="CD19" s="28">
        <f t="shared" si="1"/>
        <v>100.23352361183187</v>
      </c>
      <c r="CE19" s="28">
        <f t="shared" si="1"/>
        <v>102.71809474501681</v>
      </c>
      <c r="CF19" s="28">
        <f t="shared" si="1"/>
        <v>100.63004032258065</v>
      </c>
      <c r="CG19" s="28">
        <f t="shared" si="1"/>
        <v>98.948159278737791</v>
      </c>
      <c r="CH19" s="28">
        <f t="shared" si="1"/>
        <v>92.153885092381685</v>
      </c>
      <c r="CI19" s="28">
        <f t="shared" si="1"/>
        <v>98.379566053282062</v>
      </c>
      <c r="CJ19" s="28">
        <f t="shared" si="1"/>
        <v>110.63651591289782</v>
      </c>
      <c r="CK19" s="28">
        <f t="shared" si="1"/>
        <v>93.086045924804452</v>
      </c>
      <c r="CL19" s="28">
        <f t="shared" si="1"/>
        <v>99.593385741393334</v>
      </c>
      <c r="CM19" s="28">
        <f t="shared" si="1"/>
        <v>98.067501360914534</v>
      </c>
      <c r="CN19" s="28">
        <f t="shared" si="1"/>
        <v>97.502081598667772</v>
      </c>
      <c r="CO19" s="28">
        <f t="shared" si="1"/>
        <v>98.263592371192715</v>
      </c>
      <c r="CP19" s="28">
        <f t="shared" si="1"/>
        <v>101.56431054461181</v>
      </c>
      <c r="CQ19" s="28">
        <f t="shared" si="1"/>
        <v>102.2532800912721</v>
      </c>
      <c r="CR19" s="28">
        <f t="shared" si="1"/>
        <v>99.4979079497908</v>
      </c>
      <c r="CS19" s="28">
        <f t="shared" si="1"/>
        <v>99.775721895149985</v>
      </c>
      <c r="CT19" s="28">
        <f t="shared" si="1"/>
        <v>100.95532452936217</v>
      </c>
      <c r="CU19" s="28">
        <f t="shared" si="1"/>
        <v>99.10937934873364</v>
      </c>
      <c r="CV19" s="28">
        <f t="shared" si="1"/>
        <v>101.29177197416455</v>
      </c>
      <c r="CW19" s="28">
        <f t="shared" si="1"/>
        <v>101.38619351261437</v>
      </c>
      <c r="CX19" s="28">
        <f t="shared" si="1"/>
        <v>102.05086136177195</v>
      </c>
      <c r="CY19" s="28">
        <f t="shared" si="1"/>
        <v>100.85744908896035</v>
      </c>
      <c r="CZ19" s="28">
        <f t="shared" si="1"/>
        <v>99.388947927736453</v>
      </c>
      <c r="DA19" s="28">
        <f t="shared" si="1"/>
        <v>100.37423148890672</v>
      </c>
      <c r="DB19" s="28">
        <f t="shared" si="1"/>
        <v>100</v>
      </c>
      <c r="DC19" s="28">
        <f t="shared" si="1"/>
        <v>99.014647137150462</v>
      </c>
      <c r="DD19" s="28">
        <f t="shared" si="1"/>
        <v>99.515868746637977</v>
      </c>
      <c r="DE19" s="28">
        <f t="shared" si="1"/>
        <v>98.918918918918919</v>
      </c>
      <c r="DF19" s="28">
        <f t="shared" si="1"/>
        <v>98.989071038251382</v>
      </c>
      <c r="DG19" s="28">
        <f t="shared" si="1"/>
        <v>99.14435550648632</v>
      </c>
      <c r="DH19" s="28">
        <f t="shared" si="1"/>
        <v>99.331848552338528</v>
      </c>
      <c r="DI19" s="28">
        <f t="shared" si="1"/>
        <v>98.626681614349778</v>
      </c>
      <c r="DJ19" s="28">
        <f t="shared" si="1"/>
        <v>98.621767547598751</v>
      </c>
      <c r="DK19" s="28">
        <f t="shared" si="1"/>
        <v>99.625414205445907</v>
      </c>
      <c r="DL19" s="28">
        <f t="shared" si="1"/>
        <v>99.03109182935647</v>
      </c>
      <c r="DM19" s="28">
        <f t="shared" si="1"/>
        <v>97.488317757009355</v>
      </c>
      <c r="DN19" s="28">
        <f t="shared" si="1"/>
        <v>98.801677651288188</v>
      </c>
      <c r="DO19" s="28">
        <f t="shared" si="1"/>
        <v>100.15160703456641</v>
      </c>
      <c r="DP19" s="28">
        <f t="shared" si="1"/>
        <v>101.08991825613079</v>
      </c>
      <c r="DQ19" s="28">
        <f t="shared" si="1"/>
        <v>103.16651692123391</v>
      </c>
      <c r="DR19" s="28">
        <f t="shared" si="1"/>
        <v>100.0121925375864</v>
      </c>
      <c r="DS19" s="28">
        <f t="shared" si="1"/>
        <v>101.50501429545884</v>
      </c>
      <c r="DT19" s="28">
        <f t="shared" si="1"/>
        <v>100.91507006005148</v>
      </c>
      <c r="DU19" s="28">
        <f t="shared" si="1"/>
        <v>100.31170303202042</v>
      </c>
      <c r="DV19" s="28">
        <f t="shared" si="1"/>
        <v>100.84745762711864</v>
      </c>
      <c r="DW19" s="28">
        <f t="shared" si="1"/>
        <v>100.11204481792717</v>
      </c>
      <c r="DX19" s="28">
        <f t="shared" si="1"/>
        <v>100</v>
      </c>
      <c r="DY19" s="28">
        <f t="shared" si="1"/>
        <v>100</v>
      </c>
      <c r="DZ19" s="28">
        <f t="shared" si="1"/>
        <v>100.39171796306661</v>
      </c>
      <c r="EA19" s="28">
        <f t="shared" si="2"/>
        <v>100</v>
      </c>
      <c r="EB19" s="28">
        <f t="shared" si="2"/>
        <v>100</v>
      </c>
      <c r="EC19" s="28">
        <f t="shared" si="2"/>
        <v>100.0278706800446</v>
      </c>
      <c r="ED19" s="28">
        <f t="shared" si="2"/>
        <v>100</v>
      </c>
      <c r="EE19" s="28">
        <f t="shared" si="2"/>
        <v>100.30649205906938</v>
      </c>
      <c r="EF19" s="28">
        <f t="shared" si="2"/>
        <v>100.69444444444444</v>
      </c>
      <c r="EG19" s="28">
        <f t="shared" si="2"/>
        <v>100</v>
      </c>
      <c r="EH19" s="28">
        <f t="shared" si="2"/>
        <v>100</v>
      </c>
      <c r="EI19" s="28">
        <f t="shared" si="2"/>
        <v>100</v>
      </c>
      <c r="EJ19" s="28">
        <f t="shared" si="2"/>
        <v>100</v>
      </c>
      <c r="EK19" s="28">
        <f t="shared" si="2"/>
        <v>100.09655172413794</v>
      </c>
      <c r="EL19" s="28">
        <f t="shared" si="2"/>
        <v>100</v>
      </c>
      <c r="EM19" s="28">
        <f t="shared" si="2"/>
        <v>100</v>
      </c>
      <c r="EN19" s="28">
        <f t="shared" si="2"/>
        <v>100</v>
      </c>
      <c r="EO19" s="28">
        <f t="shared" si="2"/>
        <v>100</v>
      </c>
      <c r="EP19" s="28">
        <f t="shared" si="2"/>
        <v>100</v>
      </c>
      <c r="EQ19" s="28">
        <f t="shared" si="2"/>
        <v>100</v>
      </c>
      <c r="ER19" s="28">
        <f t="shared" si="2"/>
        <v>100</v>
      </c>
      <c r="ES19" s="28">
        <f t="shared" si="2"/>
        <v>100</v>
      </c>
      <c r="ET19" s="28">
        <f t="shared" si="2"/>
        <v>100</v>
      </c>
      <c r="EU19" s="28">
        <f t="shared" si="2"/>
        <v>100</v>
      </c>
      <c r="EV19" s="28">
        <f t="shared" si="2"/>
        <v>100</v>
      </c>
      <c r="EW19" s="28">
        <f t="shared" si="2"/>
        <v>100</v>
      </c>
      <c r="EX19" s="28">
        <f t="shared" si="2"/>
        <v>100</v>
      </c>
      <c r="EY19" s="28">
        <f t="shared" si="2"/>
        <v>100</v>
      </c>
      <c r="EZ19" s="28">
        <f t="shared" si="2"/>
        <v>100</v>
      </c>
      <c r="FA19" s="28">
        <f t="shared" si="2"/>
        <v>100</v>
      </c>
      <c r="FB19" s="28">
        <f t="shared" si="2"/>
        <v>99.986220201185063</v>
      </c>
      <c r="FC19" s="28">
        <f t="shared" si="2"/>
        <v>100</v>
      </c>
      <c r="FD19" s="28">
        <f t="shared" si="2"/>
        <v>100</v>
      </c>
      <c r="FE19" s="28">
        <f t="shared" si="2"/>
        <v>100</v>
      </c>
      <c r="FF19" s="28">
        <f t="shared" si="2"/>
        <v>100</v>
      </c>
      <c r="FG19" s="28">
        <f t="shared" si="2"/>
        <v>100</v>
      </c>
      <c r="FH19" s="28">
        <f t="shared" si="2"/>
        <v>100.01378169790517</v>
      </c>
      <c r="FI19" s="28">
        <f t="shared" si="2"/>
        <v>100</v>
      </c>
      <c r="FJ19" s="28">
        <f t="shared" si="2"/>
        <v>100</v>
      </c>
      <c r="FK19" s="28">
        <f t="shared" si="2"/>
        <v>100</v>
      </c>
      <c r="FL19" s="28">
        <f t="shared" si="2"/>
        <v>100</v>
      </c>
      <c r="FM19" s="28">
        <f t="shared" si="2"/>
        <v>100</v>
      </c>
      <c r="FN19" s="28">
        <f t="shared" si="2"/>
        <v>100</v>
      </c>
      <c r="FO19" s="28">
        <f t="shared" si="2"/>
        <v>100.05511919525975</v>
      </c>
      <c r="FP19" s="28">
        <f t="shared" si="2"/>
        <v>100</v>
      </c>
      <c r="FQ19" s="28">
        <f t="shared" si="2"/>
        <v>100</v>
      </c>
      <c r="FR19" s="28">
        <f t="shared" si="2"/>
        <v>100</v>
      </c>
      <c r="FS19" s="28">
        <f t="shared" si="2"/>
        <v>100</v>
      </c>
      <c r="FT19" s="28">
        <f t="shared" si="2"/>
        <v>100</v>
      </c>
      <c r="FU19" s="28">
        <f t="shared" si="2"/>
        <v>100</v>
      </c>
      <c r="FV19" s="28">
        <f t="shared" si="2"/>
        <v>100</v>
      </c>
      <c r="FW19" s="28">
        <f t="shared" si="2"/>
        <v>100</v>
      </c>
      <c r="FX19" s="28">
        <f t="shared" si="2"/>
        <v>100</v>
      </c>
      <c r="FY19" s="28">
        <f t="shared" si="2"/>
        <v>100</v>
      </c>
      <c r="FZ19" s="28">
        <f t="shared" si="2"/>
        <v>100</v>
      </c>
      <c r="GA19" s="28">
        <f t="shared" si="2"/>
        <v>99.862277923151083</v>
      </c>
      <c r="GB19" s="28">
        <f t="shared" si="2"/>
        <v>99.600055164804857</v>
      </c>
      <c r="GC19" s="28">
        <f t="shared" si="2"/>
        <v>97.493769039047351</v>
      </c>
      <c r="GD19" s="28">
        <f t="shared" si="2"/>
        <v>86.635421104956691</v>
      </c>
      <c r="GE19" s="28">
        <f t="shared" si="2"/>
        <v>93.114754098360649</v>
      </c>
      <c r="GF19" s="28">
        <f t="shared" si="2"/>
        <v>100</v>
      </c>
      <c r="GG19" s="28">
        <f t="shared" si="2"/>
        <v>99.295774647887313</v>
      </c>
      <c r="GH19" s="28">
        <f t="shared" si="2"/>
        <v>102.05673758865248</v>
      </c>
      <c r="GI19" s="28">
        <f t="shared" si="2"/>
        <v>98.957609451007642</v>
      </c>
      <c r="GJ19" s="28">
        <f t="shared" si="2"/>
        <v>98.700842696629223</v>
      </c>
      <c r="GK19" s="28">
        <f t="shared" si="2"/>
        <v>98.577018854500182</v>
      </c>
      <c r="GL19" s="28">
        <f t="shared" si="2"/>
        <v>100.72176109707686</v>
      </c>
      <c r="GM19" s="28">
        <f t="shared" si="3"/>
        <v>100.8957362952347</v>
      </c>
      <c r="GN19" s="28">
        <f t="shared" si="3"/>
        <v>98.4375</v>
      </c>
      <c r="GO19" s="28">
        <f t="shared" si="3"/>
        <v>100.84776334776335</v>
      </c>
      <c r="GP19" s="28">
        <f t="shared" si="3"/>
        <v>98.211411196565919</v>
      </c>
      <c r="GQ19" s="28">
        <f t="shared" si="3"/>
        <v>101.5115643780732</v>
      </c>
      <c r="GR19" s="28">
        <f t="shared" si="3"/>
        <v>100.32292787944026</v>
      </c>
      <c r="GS19" s="28">
        <f t="shared" si="3"/>
        <v>100.64377682403433</v>
      </c>
      <c r="GT19" s="28">
        <f t="shared" si="3"/>
        <v>100</v>
      </c>
      <c r="GU19" s="28">
        <f t="shared" si="3"/>
        <v>102.48756218905473</v>
      </c>
      <c r="GV19" s="28">
        <f t="shared" si="3"/>
        <v>100.20804438280166</v>
      </c>
      <c r="GW19" s="28">
        <f t="shared" si="3"/>
        <v>99.273356401384078</v>
      </c>
      <c r="GX19" s="28">
        <f t="shared" si="3"/>
        <v>101.42906936214709</v>
      </c>
      <c r="GY19" s="28">
        <f t="shared" si="3"/>
        <v>100.37800687285224</v>
      </c>
      <c r="GZ19" s="28">
        <f t="shared" si="3"/>
        <v>103.35501540568298</v>
      </c>
      <c r="HA19" s="28">
        <f t="shared" si="3"/>
        <v>101.5071215634316</v>
      </c>
      <c r="HB19" s="28">
        <f t="shared" si="3"/>
        <v>101.55000815793767</v>
      </c>
      <c r="HC19" s="28">
        <f t="shared" si="3"/>
        <v>100.43380462724936</v>
      </c>
      <c r="HD19" s="28">
        <f t="shared" si="3"/>
        <v>100.52791553351463</v>
      </c>
      <c r="HE19" s="28">
        <f t="shared" si="3"/>
        <v>101.24124761298536</v>
      </c>
      <c r="HF19" s="28">
        <f t="shared" si="3"/>
        <v>99.669915121031124</v>
      </c>
      <c r="HG19" s="28">
        <f t="shared" si="3"/>
        <v>101.26163065762499</v>
      </c>
      <c r="HH19" s="28">
        <f t="shared" si="3"/>
        <v>101.69755489799095</v>
      </c>
      <c r="HI19" s="28">
        <f t="shared" si="3"/>
        <v>87.87136294027566</v>
      </c>
      <c r="HJ19" s="28">
        <f t="shared" si="3"/>
        <v>118.08992680376437</v>
      </c>
      <c r="HK19" s="28">
        <f t="shared" si="3"/>
        <v>101.56434474616293</v>
      </c>
      <c r="HL19" s="28">
        <f t="shared" si="3"/>
        <v>101.0462074978204</v>
      </c>
      <c r="HM19" s="28">
        <f t="shared" si="3"/>
        <v>100</v>
      </c>
      <c r="HN19" s="28">
        <f t="shared" si="3"/>
        <v>98.964624676445212</v>
      </c>
      <c r="HO19" s="28">
        <f t="shared" si="3"/>
        <v>100</v>
      </c>
      <c r="HP19" s="28">
        <f t="shared" si="3"/>
        <v>99.476896251089798</v>
      </c>
      <c r="HQ19" s="28">
        <f t="shared" si="6"/>
        <v>100.96406660823838</v>
      </c>
      <c r="HR19" s="28">
        <f t="shared" si="6"/>
        <v>101.3310185185185</v>
      </c>
      <c r="HS19" s="28">
        <f t="shared" si="6"/>
        <v>99.457452884066257</v>
      </c>
      <c r="HT19" s="28">
        <f t="shared" si="6"/>
        <v>99.397071490094746</v>
      </c>
      <c r="HU19" s="28">
        <f t="shared" si="6"/>
        <v>100.72212593876371</v>
      </c>
      <c r="HV19" s="28">
        <v>99.283051333524526</v>
      </c>
      <c r="HW19" s="28">
        <v>99.71114962449451</v>
      </c>
      <c r="HX19" s="28">
        <v>100.81112398609503</v>
      </c>
      <c r="HY19" s="28">
        <v>100.51724137931035</v>
      </c>
      <c r="HZ19" s="28">
        <v>100.91480846197827</v>
      </c>
      <c r="IA19" s="28">
        <v>101.48725212464589</v>
      </c>
      <c r="IB19" s="28">
        <v>100.40474528960223</v>
      </c>
      <c r="IC19" s="28">
        <v>102.11287183764249</v>
      </c>
      <c r="ID19" s="28">
        <v>101.55186496052274</v>
      </c>
      <c r="IE19" s="28">
        <v>101.16621983914209</v>
      </c>
      <c r="IF19" s="28">
        <v>102.10679740294157</v>
      </c>
      <c r="IG19" s="28">
        <v>102.80301064105892</v>
      </c>
      <c r="IH19" s="28">
        <v>101.26230749810654</v>
      </c>
      <c r="II19" s="28">
        <f t="shared" si="4"/>
        <v>101.22164048865621</v>
      </c>
      <c r="IJ19" s="28">
        <f t="shared" si="4"/>
        <v>104.33497536945812</v>
      </c>
      <c r="IK19" s="28">
        <f t="shared" si="4"/>
        <v>104.24929178470255</v>
      </c>
      <c r="IL19" s="28">
        <f t="shared" si="4"/>
        <v>101.97010869565217</v>
      </c>
      <c r="IM19" s="28">
        <f t="shared" si="4"/>
        <v>102.30957139684654</v>
      </c>
      <c r="IN19" s="28">
        <f t="shared" si="4"/>
        <v>101.93184284784024</v>
      </c>
      <c r="IO19" s="28">
        <f t="shared" si="4"/>
        <v>99.744463373083477</v>
      </c>
      <c r="IP19" s="28">
        <f t="shared" si="4"/>
        <v>100.89666951323655</v>
      </c>
      <c r="IQ19" s="28">
        <f t="shared" si="4"/>
        <v>100.95217943292425</v>
      </c>
      <c r="IR19" s="28">
        <f>IR6/IQ6*100</f>
        <v>100.94319849088242</v>
      </c>
      <c r="IS19" s="34">
        <f>IS6/IR6*100</f>
        <v>100.74750830564784</v>
      </c>
      <c r="IT19" s="28">
        <f t="shared" si="7"/>
        <v>100.8037922506183</v>
      </c>
      <c r="IU19" s="28">
        <f t="shared" si="5"/>
        <v>100.32713146595786</v>
      </c>
      <c r="IV19" s="28">
        <f t="shared" si="5"/>
        <v>101.66089260240474</v>
      </c>
      <c r="IW19" s="28">
        <f t="shared" si="5"/>
        <v>101.99458755136814</v>
      </c>
      <c r="IX19" s="28">
        <f t="shared" si="5"/>
        <v>100.86477987421382</v>
      </c>
      <c r="IY19" s="28">
        <f t="shared" si="5"/>
        <v>101.55884645362431</v>
      </c>
      <c r="IZ19" s="28">
        <f t="shared" si="5"/>
        <v>101.24712202609362</v>
      </c>
      <c r="JA19" s="28">
        <f t="shared" si="5"/>
        <v>101.30756111426946</v>
      </c>
      <c r="JB19" s="28">
        <f t="shared" si="5"/>
        <v>101.30939019827909</v>
      </c>
      <c r="JC19" s="28">
        <f t="shared" si="5"/>
        <v>102.12333825701623</v>
      </c>
      <c r="JD19" s="28">
        <f t="shared" si="5"/>
        <v>100.99439522690292</v>
      </c>
      <c r="JE19" s="28">
        <f t="shared" si="5"/>
        <v>101.28893662728248</v>
      </c>
      <c r="JF19" s="28">
        <f t="shared" si="5"/>
        <v>102.08554259455637</v>
      </c>
      <c r="JG19" s="28">
        <f t="shared" si="5"/>
        <v>101.19459833795015</v>
      </c>
      <c r="JH19" s="28">
        <f t="shared" si="5"/>
        <v>99.486740804106077</v>
      </c>
      <c r="JI19" s="28">
        <f t="shared" si="5"/>
        <v>100.28374892519348</v>
      </c>
      <c r="JJ19" s="28">
        <f t="shared" si="5"/>
        <v>100.53159564434534</v>
      </c>
      <c r="JK19" s="28">
        <f t="shared" si="5"/>
        <v>100.86140724946695</v>
      </c>
      <c r="JL19" s="28">
        <f t="shared" si="5"/>
        <v>100.33823778116016</v>
      </c>
      <c r="JM19" s="28">
        <f t="shared" si="5"/>
        <v>101.39895499747178</v>
      </c>
      <c r="JN19" s="28">
        <f t="shared" si="5"/>
        <v>101.47938829787233</v>
      </c>
      <c r="JO19" s="28">
        <f t="shared" si="5"/>
        <v>103.14496314496316</v>
      </c>
      <c r="JP19" s="28">
        <f t="shared" si="5"/>
        <v>100.9210735270764</v>
      </c>
      <c r="JQ19" s="28">
        <f t="shared" si="5"/>
        <v>101.54209284028323</v>
      </c>
      <c r="JR19" s="28">
        <f t="shared" si="5"/>
        <v>101.96807686347435</v>
      </c>
      <c r="JS19" s="28">
        <f t="shared" si="5"/>
        <v>103.61702127659574</v>
      </c>
      <c r="JT19" s="28">
        <f t="shared" si="5"/>
        <v>100.07333528894105</v>
      </c>
      <c r="JU19" s="28">
        <f t="shared" si="5"/>
        <v>102.34500952660119</v>
      </c>
      <c r="JV19" s="28">
        <f t="shared" si="5"/>
        <v>101.90462551911786</v>
      </c>
      <c r="JW19" s="28">
        <f t="shared" si="5"/>
        <v>101.57391793142214</v>
      </c>
      <c r="JX19" s="28">
        <f t="shared" si="5"/>
        <v>101.20365246264527</v>
      </c>
      <c r="JY19" s="28">
        <f t="shared" si="5"/>
        <v>101.74982911825016</v>
      </c>
      <c r="JZ19" s="28">
        <f t="shared" si="5"/>
        <v>104.00376192395539</v>
      </c>
    </row>
    <row r="20" spans="1:286" x14ac:dyDescent="0.25">
      <c r="A20" s="38" t="s">
        <v>21</v>
      </c>
      <c r="C20" s="28">
        <f t="shared" si="0"/>
        <v>104.20836232292299</v>
      </c>
      <c r="D20" s="28">
        <f t="shared" si="0"/>
        <v>103.04456915514861</v>
      </c>
      <c r="E20" s="28">
        <f t="shared" si="0"/>
        <v>101.58593542276284</v>
      </c>
      <c r="F20" s="28">
        <f t="shared" si="0"/>
        <v>100.8289315467552</v>
      </c>
      <c r="G20" s="28">
        <f t="shared" si="0"/>
        <v>100.76148204858868</v>
      </c>
      <c r="H20" s="28">
        <f t="shared" si="0"/>
        <v>97.895657442413395</v>
      </c>
      <c r="I20" s="28">
        <f t="shared" si="0"/>
        <v>99.008875047049315</v>
      </c>
      <c r="J20" s="28">
        <f t="shared" si="0"/>
        <v>101.27073952707765</v>
      </c>
      <c r="K20" s="28">
        <f t="shared" si="0"/>
        <v>103.11911906481701</v>
      </c>
      <c r="L20" s="28">
        <f t="shared" si="0"/>
        <v>100.47363342938178</v>
      </c>
      <c r="M20" s="28">
        <f t="shared" si="0"/>
        <v>100.15275347074568</v>
      </c>
      <c r="N20" s="28">
        <f t="shared" si="0"/>
        <v>98.772354093752057</v>
      </c>
      <c r="O20" s="28">
        <f t="shared" si="0"/>
        <v>102.52036166357648</v>
      </c>
      <c r="P20" s="28">
        <f t="shared" si="0"/>
        <v>101.94513608083638</v>
      </c>
      <c r="Q20" s="28">
        <f t="shared" si="0"/>
        <v>99.987103391851079</v>
      </c>
      <c r="R20" s="28">
        <f t="shared" si="0"/>
        <v>91.831516045312028</v>
      </c>
      <c r="S20" s="28">
        <f t="shared" si="0"/>
        <v>100.27700993191671</v>
      </c>
      <c r="T20" s="28">
        <f t="shared" si="0"/>
        <v>99.356236826355513</v>
      </c>
      <c r="U20" s="28">
        <f t="shared" si="0"/>
        <v>100.07954338456409</v>
      </c>
      <c r="V20" s="28">
        <f t="shared" si="0"/>
        <v>99.979830355340241</v>
      </c>
      <c r="W20" s="28">
        <f t="shared" si="0"/>
        <v>98.337497002462555</v>
      </c>
      <c r="X20" s="28">
        <f t="shared" si="0"/>
        <v>100.28266783235121</v>
      </c>
      <c r="Y20" s="28">
        <f t="shared" si="0"/>
        <v>100.20517177869601</v>
      </c>
      <c r="Z20" s="28">
        <f t="shared" si="0"/>
        <v>100.88388296024884</v>
      </c>
      <c r="AA20" s="28">
        <f t="shared" si="0"/>
        <v>99.517828558215342</v>
      </c>
      <c r="AB20" s="28">
        <f t="shared" si="0"/>
        <v>101.56167640113665</v>
      </c>
      <c r="AC20" s="28">
        <f t="shared" si="0"/>
        <v>99.77727135158365</v>
      </c>
      <c r="AD20" s="28">
        <f t="shared" si="0"/>
        <v>103.46315238732096</v>
      </c>
      <c r="AE20" s="28">
        <f t="shared" si="0"/>
        <v>99.654753902930537</v>
      </c>
      <c r="AF20" s="28">
        <f t="shared" si="0"/>
        <v>97.851433720932206</v>
      </c>
      <c r="AG20" s="28">
        <f t="shared" si="0"/>
        <v>100</v>
      </c>
      <c r="AH20" s="28">
        <f t="shared" si="0"/>
        <v>99.174690508940856</v>
      </c>
      <c r="AI20" s="28">
        <f t="shared" si="0"/>
        <v>98.613037447988901</v>
      </c>
      <c r="AJ20" s="28">
        <f t="shared" si="0"/>
        <v>100.14064697609003</v>
      </c>
      <c r="AK20" s="28">
        <f t="shared" si="0"/>
        <v>98.033707865168537</v>
      </c>
      <c r="AL20" s="28">
        <f t="shared" si="0"/>
        <v>101.5759312320917</v>
      </c>
      <c r="AM20" s="28">
        <f t="shared" si="0"/>
        <v>96.897038081805363</v>
      </c>
      <c r="AN20" s="28">
        <f t="shared" si="0"/>
        <v>99.563318777292579</v>
      </c>
      <c r="AO20" s="28">
        <f t="shared" si="0"/>
        <v>110.96491228070175</v>
      </c>
      <c r="AP20" s="28">
        <f t="shared" si="0"/>
        <v>110.01317523056653</v>
      </c>
      <c r="AQ20" s="28">
        <f t="shared" si="0"/>
        <v>101.79640718562875</v>
      </c>
      <c r="AR20" s="28">
        <f t="shared" si="0"/>
        <v>121.17647058823529</v>
      </c>
      <c r="AS20" s="28">
        <f t="shared" si="0"/>
        <v>111.2621359223301</v>
      </c>
      <c r="AT20" s="28">
        <f t="shared" si="0"/>
        <v>100.43630017452007</v>
      </c>
      <c r="AU20" s="28">
        <f t="shared" si="0"/>
        <v>101.30321459600347</v>
      </c>
      <c r="AV20" s="28">
        <f t="shared" si="0"/>
        <v>103.34476843910807</v>
      </c>
      <c r="AW20" s="28">
        <f t="shared" si="0"/>
        <v>98.257261410788374</v>
      </c>
      <c r="AX20" s="28">
        <f t="shared" si="0"/>
        <v>102.36486486486487</v>
      </c>
      <c r="AY20" s="28">
        <f t="shared" si="0"/>
        <v>101.32013201320132</v>
      </c>
      <c r="AZ20" s="28">
        <f t="shared" si="0"/>
        <v>104.39739413680782</v>
      </c>
      <c r="BA20" s="28">
        <f t="shared" si="0"/>
        <v>101.24804992199688</v>
      </c>
      <c r="BB20" s="28">
        <f t="shared" si="0"/>
        <v>99.768875192604</v>
      </c>
      <c r="BC20" s="28">
        <f t="shared" si="0"/>
        <v>100</v>
      </c>
      <c r="BD20" s="28">
        <f t="shared" si="0"/>
        <v>101.08108108108107</v>
      </c>
      <c r="BE20" s="28">
        <f t="shared" si="0"/>
        <v>104.58365164247516</v>
      </c>
      <c r="BF20" s="28">
        <f t="shared" si="0"/>
        <v>106.93937180423667</v>
      </c>
      <c r="BG20" s="28">
        <f t="shared" si="0"/>
        <v>102.80054644808743</v>
      </c>
      <c r="BH20" s="28">
        <f t="shared" si="0"/>
        <v>104.51827242524917</v>
      </c>
      <c r="BI20" s="28">
        <f t="shared" si="0"/>
        <v>103.56007628734902</v>
      </c>
      <c r="BJ20" s="28">
        <f t="shared" si="0"/>
        <v>102.45549416820134</v>
      </c>
      <c r="BK20" s="28">
        <f t="shared" si="0"/>
        <v>101.37807070101856</v>
      </c>
      <c r="BL20" s="28">
        <f t="shared" si="0"/>
        <v>103.13238770685579</v>
      </c>
      <c r="BM20" s="28">
        <f t="shared" si="0"/>
        <v>102.52148997134671</v>
      </c>
      <c r="BN20" s="28">
        <f t="shared" ref="D20:BO24" si="8">BN7/BM7*100</f>
        <v>101.78870877585243</v>
      </c>
      <c r="BO20" s="28">
        <f t="shared" si="8"/>
        <v>102.52608456891818</v>
      </c>
      <c r="BP20" s="28">
        <f t="shared" si="1"/>
        <v>103.53508302088912</v>
      </c>
      <c r="BQ20" s="28">
        <f t="shared" si="1"/>
        <v>102.22452146921883</v>
      </c>
      <c r="BR20" s="28">
        <f t="shared" si="1"/>
        <v>100.75910931174089</v>
      </c>
      <c r="BS20" s="28">
        <f t="shared" si="1"/>
        <v>104.57056755399296</v>
      </c>
      <c r="BT20" s="28">
        <f t="shared" si="1"/>
        <v>103.50624399615754</v>
      </c>
      <c r="BU20" s="28">
        <f t="shared" si="1"/>
        <v>103.80510440835266</v>
      </c>
      <c r="BV20" s="28">
        <f t="shared" si="1"/>
        <v>100.44702726866339</v>
      </c>
      <c r="BW20" s="28">
        <f t="shared" si="1"/>
        <v>102.6702269692924</v>
      </c>
      <c r="BX20" s="28">
        <f t="shared" si="1"/>
        <v>103.12093628088425</v>
      </c>
      <c r="BY20" s="28">
        <f t="shared" si="1"/>
        <v>102.69020596889449</v>
      </c>
      <c r="BZ20" s="28">
        <f t="shared" si="1"/>
        <v>102.82439623413835</v>
      </c>
      <c r="CA20" s="28">
        <f t="shared" si="1"/>
        <v>102.6671974522293</v>
      </c>
      <c r="CB20" s="28">
        <f t="shared" si="1"/>
        <v>102.86932919736331</v>
      </c>
      <c r="CC20" s="28">
        <f t="shared" si="1"/>
        <v>101.35695439125519</v>
      </c>
      <c r="CD20" s="28">
        <f t="shared" si="1"/>
        <v>100.66939382670137</v>
      </c>
      <c r="CE20" s="28">
        <f t="shared" si="1"/>
        <v>101.58847432582195</v>
      </c>
      <c r="CF20" s="28">
        <f t="shared" si="1"/>
        <v>102.2909090909091</v>
      </c>
      <c r="CG20" s="28">
        <f t="shared" si="1"/>
        <v>99.431212228937085</v>
      </c>
      <c r="CH20" s="28">
        <f t="shared" si="1"/>
        <v>99.320700750804434</v>
      </c>
      <c r="CI20" s="28">
        <f t="shared" si="1"/>
        <v>96.616270698344124</v>
      </c>
      <c r="CJ20" s="28">
        <f t="shared" si="1"/>
        <v>109.01639344262296</v>
      </c>
      <c r="CK20" s="28">
        <f t="shared" si="1"/>
        <v>94.053315105946695</v>
      </c>
      <c r="CL20" s="28">
        <f t="shared" si="1"/>
        <v>95.494186046511629</v>
      </c>
      <c r="CM20" s="28">
        <f t="shared" si="1"/>
        <v>101.21765601217656</v>
      </c>
      <c r="CN20" s="28">
        <f t="shared" si="1"/>
        <v>98.533834586466156</v>
      </c>
      <c r="CO20" s="28">
        <f t="shared" si="1"/>
        <v>99.961846623426169</v>
      </c>
      <c r="CP20" s="28">
        <f t="shared" si="1"/>
        <v>99.274809160305338</v>
      </c>
      <c r="CQ20" s="28">
        <f t="shared" si="1"/>
        <v>102.15301806997307</v>
      </c>
      <c r="CR20" s="28">
        <f t="shared" si="1"/>
        <v>99.811817839668805</v>
      </c>
      <c r="CS20" s="28">
        <f t="shared" si="1"/>
        <v>101.20663650075414</v>
      </c>
      <c r="CT20" s="28">
        <f t="shared" si="1"/>
        <v>100.78241430700447</v>
      </c>
      <c r="CU20" s="28">
        <f t="shared" si="1"/>
        <v>100.44362292051756</v>
      </c>
      <c r="CV20" s="28">
        <f t="shared" si="1"/>
        <v>102.7235921972764</v>
      </c>
      <c r="CW20" s="28">
        <f t="shared" si="1"/>
        <v>99.820852740953057</v>
      </c>
      <c r="CX20" s="28">
        <f t="shared" si="1"/>
        <v>101.22038765254845</v>
      </c>
      <c r="CY20" s="28">
        <f t="shared" si="1"/>
        <v>101.06382978723406</v>
      </c>
      <c r="CZ20" s="28">
        <f t="shared" si="1"/>
        <v>101.0877192982456</v>
      </c>
      <c r="DA20" s="28">
        <f t="shared" si="1"/>
        <v>99.028115237764666</v>
      </c>
      <c r="DB20" s="28">
        <f t="shared" si="1"/>
        <v>99.509288468278996</v>
      </c>
      <c r="DC20" s="28">
        <f t="shared" si="1"/>
        <v>99.788657978161325</v>
      </c>
      <c r="DD20" s="28">
        <f t="shared" si="1"/>
        <v>100.03529827038476</v>
      </c>
      <c r="DE20" s="28">
        <f t="shared" si="1"/>
        <v>98.835568101623153</v>
      </c>
      <c r="DF20" s="28">
        <f t="shared" si="1"/>
        <v>99.25026776151374</v>
      </c>
      <c r="DG20" s="28">
        <f t="shared" si="1"/>
        <v>99.712230215827333</v>
      </c>
      <c r="DH20" s="28">
        <f t="shared" si="1"/>
        <v>100.50505050505049</v>
      </c>
      <c r="DI20" s="28">
        <f t="shared" si="1"/>
        <v>102.7494615936827</v>
      </c>
      <c r="DJ20" s="28">
        <f t="shared" si="1"/>
        <v>100.60434569971355</v>
      </c>
      <c r="DK20" s="28">
        <f t="shared" si="1"/>
        <v>100.76738775651933</v>
      </c>
      <c r="DL20" s="28">
        <f t="shared" si="1"/>
        <v>101.30944176430047</v>
      </c>
      <c r="DM20" s="28">
        <f t="shared" si="1"/>
        <v>101.12244897959184</v>
      </c>
      <c r="DN20" s="28">
        <f t="shared" si="1"/>
        <v>101.34544231416078</v>
      </c>
      <c r="DO20" s="28">
        <f t="shared" si="1"/>
        <v>99.767673415200804</v>
      </c>
      <c r="DP20" s="28">
        <f t="shared" si="1"/>
        <v>98.103792415169664</v>
      </c>
      <c r="DQ20" s="28">
        <f t="shared" si="1"/>
        <v>106.57205832485587</v>
      </c>
      <c r="DR20" s="28">
        <f t="shared" si="1"/>
        <v>100.74328387653088</v>
      </c>
      <c r="DS20" s="28">
        <f t="shared" si="1"/>
        <v>96.362482115616018</v>
      </c>
      <c r="DT20" s="28">
        <f t="shared" si="1"/>
        <v>98.328416912487711</v>
      </c>
      <c r="DU20" s="28">
        <f t="shared" si="1"/>
        <v>101.03333333333333</v>
      </c>
      <c r="DV20" s="28">
        <f t="shared" si="1"/>
        <v>101.86407126360936</v>
      </c>
      <c r="DW20" s="28">
        <f t="shared" si="1"/>
        <v>101.05263157894737</v>
      </c>
      <c r="DX20" s="28">
        <f t="shared" si="1"/>
        <v>101.26602564102565</v>
      </c>
      <c r="DY20" s="28">
        <f t="shared" si="1"/>
        <v>101.32932426016774</v>
      </c>
      <c r="DZ20" s="28">
        <f t="shared" si="1"/>
        <v>100.21864750898017</v>
      </c>
      <c r="EA20" s="28">
        <f t="shared" si="2"/>
        <v>101.21552127162225</v>
      </c>
      <c r="EB20" s="28">
        <f t="shared" si="2"/>
        <v>100.96997690531178</v>
      </c>
      <c r="EC20" s="28">
        <f t="shared" si="2"/>
        <v>101.05215004574566</v>
      </c>
      <c r="ED20" s="28">
        <f t="shared" si="2"/>
        <v>100.4225139580504</v>
      </c>
      <c r="EE20" s="28">
        <f t="shared" si="2"/>
        <v>100.42073628850487</v>
      </c>
      <c r="EF20" s="28">
        <f t="shared" si="2"/>
        <v>100.77809367050725</v>
      </c>
      <c r="EG20" s="28">
        <f t="shared" si="2"/>
        <v>100.23756495916851</v>
      </c>
      <c r="EH20" s="28">
        <f t="shared" si="2"/>
        <v>100</v>
      </c>
      <c r="EI20" s="28">
        <f t="shared" si="2"/>
        <v>100.14812620352541</v>
      </c>
      <c r="EJ20" s="28">
        <f t="shared" si="2"/>
        <v>100</v>
      </c>
      <c r="EK20" s="28">
        <f t="shared" si="2"/>
        <v>100.05916284573289</v>
      </c>
      <c r="EL20" s="28">
        <f t="shared" si="2"/>
        <v>100.1330376940133</v>
      </c>
      <c r="EM20" s="28">
        <f t="shared" si="2"/>
        <v>100.32477118393859</v>
      </c>
      <c r="EN20" s="28">
        <f t="shared" si="2"/>
        <v>100.07357268981754</v>
      </c>
      <c r="EO20" s="28">
        <f t="shared" si="2"/>
        <v>100</v>
      </c>
      <c r="EP20" s="28">
        <f t="shared" si="2"/>
        <v>100.02940744008235</v>
      </c>
      <c r="EQ20" s="28">
        <f t="shared" si="2"/>
        <v>100</v>
      </c>
      <c r="ER20" s="28">
        <f t="shared" si="2"/>
        <v>100</v>
      </c>
      <c r="ES20" s="28">
        <f t="shared" si="2"/>
        <v>100</v>
      </c>
      <c r="ET20" s="28">
        <f t="shared" si="2"/>
        <v>100</v>
      </c>
      <c r="EU20" s="28">
        <f t="shared" si="2"/>
        <v>100</v>
      </c>
      <c r="EV20" s="28">
        <f t="shared" si="2"/>
        <v>100</v>
      </c>
      <c r="EW20" s="28">
        <f t="shared" si="2"/>
        <v>100</v>
      </c>
      <c r="EX20" s="28">
        <f t="shared" si="2"/>
        <v>100</v>
      </c>
      <c r="EY20" s="28">
        <f t="shared" si="2"/>
        <v>100.02939879464942</v>
      </c>
      <c r="EZ20" s="28">
        <f t="shared" si="2"/>
        <v>100</v>
      </c>
      <c r="FA20" s="28">
        <f t="shared" si="2"/>
        <v>100.01469507714916</v>
      </c>
      <c r="FB20" s="28">
        <f t="shared" si="2"/>
        <v>99.985307081986491</v>
      </c>
      <c r="FC20" s="28">
        <f t="shared" si="2"/>
        <v>100.04408523144745</v>
      </c>
      <c r="FD20" s="28">
        <f t="shared" si="2"/>
        <v>100.02937720329024</v>
      </c>
      <c r="FE20" s="28">
        <f t="shared" si="2"/>
        <v>100.01468428781205</v>
      </c>
      <c r="FF20" s="28">
        <f t="shared" si="2"/>
        <v>100</v>
      </c>
      <c r="FG20" s="28">
        <f t="shared" si="2"/>
        <v>100.01468213184555</v>
      </c>
      <c r="FH20" s="28">
        <f t="shared" si="2"/>
        <v>100.04403992953613</v>
      </c>
      <c r="FI20" s="28">
        <f t="shared" si="2"/>
        <v>100.02934702861334</v>
      </c>
      <c r="FJ20" s="28">
        <f t="shared" si="2"/>
        <v>100.02933841865924</v>
      </c>
      <c r="FK20" s="28">
        <f t="shared" si="2"/>
        <v>100.04399472063352</v>
      </c>
      <c r="FL20" s="28">
        <f t="shared" si="2"/>
        <v>100.02931691586045</v>
      </c>
      <c r="FM20" s="28">
        <f t="shared" si="2"/>
        <v>100</v>
      </c>
      <c r="FN20" s="28">
        <f t="shared" si="2"/>
        <v>100.01465416178195</v>
      </c>
      <c r="FO20" s="28">
        <f t="shared" si="2"/>
        <v>100.04395604395604</v>
      </c>
      <c r="FP20" s="28">
        <f t="shared" si="2"/>
        <v>100.04393673110721</v>
      </c>
      <c r="FQ20" s="28">
        <f t="shared" si="2"/>
        <v>100</v>
      </c>
      <c r="FR20" s="28">
        <f t="shared" si="2"/>
        <v>100.02927829014784</v>
      </c>
      <c r="FS20" s="28">
        <f t="shared" si="2"/>
        <v>100.02926972047416</v>
      </c>
      <c r="FT20" s="28">
        <f t="shared" si="2"/>
        <v>100</v>
      </c>
      <c r="FU20" s="28">
        <f t="shared" si="2"/>
        <v>100</v>
      </c>
      <c r="FV20" s="28">
        <f t="shared" si="2"/>
        <v>100.02926115581565</v>
      </c>
      <c r="FW20" s="28">
        <f t="shared" si="2"/>
        <v>100.04387889425186</v>
      </c>
      <c r="FX20" s="28">
        <f t="shared" si="2"/>
        <v>100.02923976608187</v>
      </c>
      <c r="FY20" s="28">
        <f t="shared" si="2"/>
        <v>100</v>
      </c>
      <c r="FZ20" s="28">
        <f t="shared" si="2"/>
        <v>100</v>
      </c>
      <c r="GA20" s="28">
        <f t="shared" si="2"/>
        <v>99.95615317158726</v>
      </c>
      <c r="GB20" s="28">
        <f t="shared" si="2"/>
        <v>94.341277964614704</v>
      </c>
      <c r="GC20" s="28">
        <f t="shared" si="2"/>
        <v>97.830130192188463</v>
      </c>
      <c r="GD20" s="28">
        <f t="shared" si="2"/>
        <v>100.41191381495564</v>
      </c>
      <c r="GE20" s="28">
        <f t="shared" si="2"/>
        <v>100.31555695803091</v>
      </c>
      <c r="GF20" s="28">
        <f t="shared" si="2"/>
        <v>100</v>
      </c>
      <c r="GG20" s="28">
        <f t="shared" si="2"/>
        <v>98.773199119219882</v>
      </c>
      <c r="GH20" s="28">
        <f t="shared" si="2"/>
        <v>99.331210191082803</v>
      </c>
      <c r="GI20" s="28">
        <f t="shared" si="2"/>
        <v>100.32061558191727</v>
      </c>
      <c r="GJ20" s="28">
        <f t="shared" si="2"/>
        <v>100.86289549376797</v>
      </c>
      <c r="GK20" s="28">
        <f t="shared" si="2"/>
        <v>101.10899873257289</v>
      </c>
      <c r="GL20" s="28">
        <f t="shared" ref="EB20:GL25" si="9">GL7/GK7*100</f>
        <v>99.96866186148543</v>
      </c>
      <c r="GM20" s="28">
        <f>GM7/GL7*100</f>
        <v>102.16300940438872</v>
      </c>
      <c r="GN20" s="28">
        <f t="shared" si="3"/>
        <v>107.53298557839828</v>
      </c>
      <c r="GO20" s="28">
        <f t="shared" si="3"/>
        <v>99.32943358539022</v>
      </c>
      <c r="GP20" s="28">
        <f t="shared" si="3"/>
        <v>103.36110313128411</v>
      </c>
      <c r="GQ20" s="28">
        <f t="shared" si="3"/>
        <v>98.97165091717622</v>
      </c>
      <c r="GR20" s="28">
        <f t="shared" si="3"/>
        <v>100.67396798652064</v>
      </c>
      <c r="GS20" s="28">
        <f t="shared" si="3"/>
        <v>101.2273361227336</v>
      </c>
      <c r="GT20" s="28">
        <f t="shared" si="3"/>
        <v>99.448883990079921</v>
      </c>
      <c r="GU20" s="28">
        <f t="shared" si="3"/>
        <v>99.113327791632031</v>
      </c>
      <c r="GV20" s="28">
        <f t="shared" si="3"/>
        <v>100.30752026838132</v>
      </c>
      <c r="GW20" s="28">
        <f t="shared" si="3"/>
        <v>99.108138238573019</v>
      </c>
      <c r="GX20" s="28">
        <f t="shared" si="3"/>
        <v>100.78740157480314</v>
      </c>
      <c r="GY20" s="28">
        <f t="shared" si="3"/>
        <v>100.5859375</v>
      </c>
      <c r="GZ20" s="28">
        <f t="shared" si="3"/>
        <v>100.36061026352287</v>
      </c>
      <c r="HA20" s="28">
        <f t="shared" si="3"/>
        <v>99.391929242675516</v>
      </c>
      <c r="HB20" s="28">
        <f t="shared" si="3"/>
        <v>99.749721913236939</v>
      </c>
      <c r="HC20" s="28">
        <f t="shared" si="3"/>
        <v>99.97212155004182</v>
      </c>
      <c r="HD20" s="28">
        <f t="shared" si="3"/>
        <v>100</v>
      </c>
      <c r="HE20" s="28">
        <f t="shared" si="3"/>
        <v>99.330730619074188</v>
      </c>
      <c r="HF20" s="28">
        <f t="shared" si="3"/>
        <v>100.95451993262212</v>
      </c>
      <c r="HG20" s="28">
        <f t="shared" si="3"/>
        <v>100.13904338153503</v>
      </c>
      <c r="HH20" s="28">
        <f t="shared" si="3"/>
        <v>100.55540127742293</v>
      </c>
      <c r="HI20" s="28">
        <f t="shared" si="3"/>
        <v>98.204915769124554</v>
      </c>
      <c r="HJ20" s="28">
        <f t="shared" si="3"/>
        <v>100.64679415073117</v>
      </c>
      <c r="HK20" s="28">
        <f t="shared" si="3"/>
        <v>99.972059234423028</v>
      </c>
      <c r="HL20" s="28">
        <f t="shared" si="3"/>
        <v>99.720514253773061</v>
      </c>
      <c r="HM20" s="28">
        <f t="shared" si="3"/>
        <v>100</v>
      </c>
      <c r="HN20" s="28">
        <f t="shared" si="3"/>
        <v>100.05605381165918</v>
      </c>
      <c r="HO20" s="28">
        <f t="shared" si="3"/>
        <v>97.563025210084035</v>
      </c>
      <c r="HP20" s="28">
        <f t="shared" si="3"/>
        <v>97.789262130347396</v>
      </c>
      <c r="HQ20" s="28">
        <f t="shared" si="6"/>
        <v>98.796241926012911</v>
      </c>
      <c r="HR20" s="28">
        <f t="shared" si="6"/>
        <v>98.083209509658246</v>
      </c>
      <c r="HS20" s="28">
        <f t="shared" si="6"/>
        <v>98.318436600515071</v>
      </c>
      <c r="HT20" s="28">
        <f t="shared" si="6"/>
        <v>98.520801232665647</v>
      </c>
      <c r="HU20" s="28">
        <f t="shared" si="6"/>
        <v>99.155458242101972</v>
      </c>
      <c r="HV20" s="28">
        <v>98.67507886435331</v>
      </c>
      <c r="HW20" s="28">
        <v>100.03196930946292</v>
      </c>
      <c r="HX20" s="28">
        <v>100.19175455417067</v>
      </c>
      <c r="HY20" s="28">
        <v>100.1913875598086</v>
      </c>
      <c r="HZ20" s="28">
        <v>99.665711556829038</v>
      </c>
      <c r="IA20" s="28">
        <v>101.67704839482509</v>
      </c>
      <c r="IB20" s="28">
        <v>99.62299717247879</v>
      </c>
      <c r="IC20" s="28">
        <v>102.61747082939137</v>
      </c>
      <c r="ID20" s="28">
        <v>101.13706207744315</v>
      </c>
      <c r="IE20" s="28">
        <v>100.45578851412944</v>
      </c>
      <c r="IF20" s="28">
        <v>102.05686630369027</v>
      </c>
      <c r="IG20" s="28">
        <v>102.31179608772969</v>
      </c>
      <c r="IH20" s="28">
        <v>100.23174971031285</v>
      </c>
      <c r="II20" s="28">
        <f t="shared" si="4"/>
        <v>101.50289017341041</v>
      </c>
      <c r="IJ20" s="28">
        <f t="shared" si="4"/>
        <v>103.90091116173122</v>
      </c>
      <c r="IK20" s="28">
        <f t="shared" si="4"/>
        <v>101.16470265826254</v>
      </c>
      <c r="IL20" s="28">
        <f t="shared" si="4"/>
        <v>102.91209535419206</v>
      </c>
      <c r="IM20" s="28">
        <f t="shared" si="4"/>
        <v>102.44801263490393</v>
      </c>
      <c r="IN20" s="28">
        <f t="shared" si="4"/>
        <v>100.74511819116137</v>
      </c>
      <c r="IO20" s="28">
        <f t="shared" si="4"/>
        <v>100.40805916857944</v>
      </c>
      <c r="IP20" s="28">
        <f t="shared" si="4"/>
        <v>99.822199644399291</v>
      </c>
      <c r="IQ20" s="28">
        <f t="shared" si="4"/>
        <v>100.53435114503817</v>
      </c>
      <c r="IR20" s="28">
        <f t="shared" si="4"/>
        <v>100.89850670716274</v>
      </c>
      <c r="IS20" s="34">
        <f t="shared" si="4"/>
        <v>101.04101342029348</v>
      </c>
      <c r="IT20" s="28">
        <f t="shared" si="7"/>
        <v>101.24131082423038</v>
      </c>
      <c r="IU20" s="28">
        <f t="shared" si="5"/>
        <v>101.00539480137323</v>
      </c>
      <c r="IV20" s="28">
        <f t="shared" si="5"/>
        <v>100.94683175528041</v>
      </c>
      <c r="IW20" s="28">
        <f t="shared" si="5"/>
        <v>101.58730158730158</v>
      </c>
      <c r="IX20" s="28">
        <f t="shared" si="5"/>
        <v>101.59801136363636</v>
      </c>
      <c r="IY20" s="28">
        <f t="shared" si="5"/>
        <v>101.02528253524407</v>
      </c>
      <c r="IZ20" s="28">
        <f t="shared" si="5"/>
        <v>101.16480221427749</v>
      </c>
      <c r="JA20" s="28">
        <f t="shared" si="5"/>
        <v>102.43958048335612</v>
      </c>
      <c r="JB20" s="28">
        <f t="shared" si="5"/>
        <v>101.80280436234142</v>
      </c>
      <c r="JC20" s="28">
        <f t="shared" si="5"/>
        <v>101.55225185832968</v>
      </c>
      <c r="JD20" s="28">
        <f t="shared" si="5"/>
        <v>101.0118406889128</v>
      </c>
      <c r="JE20" s="28">
        <f t="shared" si="5"/>
        <v>100.85251491901109</v>
      </c>
      <c r="JF20" s="28">
        <f t="shared" si="5"/>
        <v>101.8068469991547</v>
      </c>
      <c r="JG20" s="28">
        <f t="shared" si="5"/>
        <v>100.58121432278153</v>
      </c>
      <c r="JH20" s="28">
        <f t="shared" si="5"/>
        <v>99.576927045712509</v>
      </c>
      <c r="JI20" s="28">
        <f t="shared" si="5"/>
        <v>100.80829015544042</v>
      </c>
      <c r="JJ20" s="28">
        <f t="shared" si="5"/>
        <v>100.75041118421053</v>
      </c>
      <c r="JK20" s="28">
        <f t="shared" si="5"/>
        <v>101.27538006325885</v>
      </c>
      <c r="JL20" s="28">
        <f t="shared" si="5"/>
        <v>101.007455168245</v>
      </c>
      <c r="JM20" s="28">
        <f t="shared" si="5"/>
        <v>101.65569519249951</v>
      </c>
      <c r="JN20" s="28">
        <f t="shared" si="5"/>
        <v>101.5894819466248</v>
      </c>
      <c r="JO20" s="28">
        <f t="shared" si="5"/>
        <v>102.06683407378792</v>
      </c>
      <c r="JP20" s="28">
        <f t="shared" si="5"/>
        <v>100.13247539742621</v>
      </c>
      <c r="JQ20" s="28">
        <f t="shared" si="5"/>
        <v>101.65375165375166</v>
      </c>
      <c r="JR20" s="28">
        <f t="shared" si="5"/>
        <v>102.12884633262063</v>
      </c>
      <c r="JS20" s="28">
        <f t="shared" si="5"/>
        <v>101.65665392317496</v>
      </c>
      <c r="JT20" s="28">
        <f t="shared" si="5"/>
        <v>100.16117478510029</v>
      </c>
      <c r="JU20" s="28">
        <f t="shared" si="5"/>
        <v>99.96424101555516</v>
      </c>
      <c r="JV20" s="28">
        <f t="shared" si="5"/>
        <v>100.44714720085852</v>
      </c>
      <c r="JW20" s="28">
        <f t="shared" si="5"/>
        <v>102.83119658119656</v>
      </c>
      <c r="JX20" s="28">
        <f t="shared" si="5"/>
        <v>102.23376623376623</v>
      </c>
      <c r="JY20" s="28">
        <f t="shared" si="5"/>
        <v>100.94850948509486</v>
      </c>
      <c r="JZ20" s="28">
        <f t="shared" si="5"/>
        <v>102.0469798657718</v>
      </c>
    </row>
    <row r="21" spans="1:286" x14ac:dyDescent="0.25">
      <c r="A21" s="38" t="s">
        <v>22</v>
      </c>
      <c r="C21" s="28">
        <f t="shared" ref="C21:C26" si="10">C8/B8*100</f>
        <v>101.56960005387492</v>
      </c>
      <c r="D21" s="28">
        <f t="shared" si="8"/>
        <v>104.48021440793778</v>
      </c>
      <c r="E21" s="28">
        <f t="shared" si="8"/>
        <v>98.537235415547059</v>
      </c>
      <c r="F21" s="28">
        <f t="shared" si="8"/>
        <v>100.92403241590799</v>
      </c>
      <c r="G21" s="28">
        <f t="shared" si="8"/>
        <v>101.92249541919085</v>
      </c>
      <c r="H21" s="28">
        <f t="shared" si="8"/>
        <v>98.417699909683705</v>
      </c>
      <c r="I21" s="28">
        <f t="shared" si="8"/>
        <v>99.721496570726146</v>
      </c>
      <c r="J21" s="28">
        <f t="shared" si="8"/>
        <v>102.42650937973168</v>
      </c>
      <c r="K21" s="28">
        <f t="shared" si="8"/>
        <v>104.03900322284656</v>
      </c>
      <c r="L21" s="28">
        <f t="shared" si="8"/>
        <v>100.67051187503048</v>
      </c>
      <c r="M21" s="28">
        <f t="shared" si="8"/>
        <v>100.25194438059346</v>
      </c>
      <c r="N21" s="28">
        <f t="shared" si="8"/>
        <v>98.630075134337574</v>
      </c>
      <c r="O21" s="28">
        <f t="shared" si="8"/>
        <v>103.07796286728106</v>
      </c>
      <c r="P21" s="28">
        <f t="shared" si="8"/>
        <v>103.60446625436595</v>
      </c>
      <c r="Q21" s="28">
        <f t="shared" si="8"/>
        <v>100.04654997524824</v>
      </c>
      <c r="R21" s="28">
        <f t="shared" si="8"/>
        <v>100.1289019219479</v>
      </c>
      <c r="S21" s="28">
        <f t="shared" si="8"/>
        <v>100.24038780782649</v>
      </c>
      <c r="T21" s="28">
        <f t="shared" si="8"/>
        <v>99.095677562275668</v>
      </c>
      <c r="U21" s="28">
        <f t="shared" si="8"/>
        <v>99.818094890084524</v>
      </c>
      <c r="V21" s="28">
        <f t="shared" si="8"/>
        <v>99.602025488268069</v>
      </c>
      <c r="W21" s="28">
        <f t="shared" si="8"/>
        <v>98.40259654621174</v>
      </c>
      <c r="X21" s="28">
        <f t="shared" si="8"/>
        <v>100.79649096587306</v>
      </c>
      <c r="Y21" s="28">
        <f t="shared" si="8"/>
        <v>100.18606595728303</v>
      </c>
      <c r="Z21" s="28">
        <f t="shared" si="8"/>
        <v>100.56285230643741</v>
      </c>
      <c r="AA21" s="28">
        <f t="shared" si="8"/>
        <v>99.341197800185867</v>
      </c>
      <c r="AB21" s="28">
        <f t="shared" si="8"/>
        <v>103.73791461491206</v>
      </c>
      <c r="AC21" s="28">
        <f t="shared" si="8"/>
        <v>99.622110817063614</v>
      </c>
      <c r="AD21" s="28">
        <f t="shared" si="8"/>
        <v>103.21465675074946</v>
      </c>
      <c r="AE21" s="28">
        <f t="shared" si="8"/>
        <v>100.82827556866307</v>
      </c>
      <c r="AF21" s="28">
        <f t="shared" si="8"/>
        <v>98.231202963019072</v>
      </c>
      <c r="AG21" s="28">
        <f t="shared" si="8"/>
        <v>99.898167006109986</v>
      </c>
      <c r="AH21" s="28">
        <f t="shared" si="8"/>
        <v>100.40774719673801</v>
      </c>
      <c r="AI21" s="28">
        <f t="shared" si="8"/>
        <v>99.796954314720807</v>
      </c>
      <c r="AJ21" s="28">
        <f t="shared" si="8"/>
        <v>102.03458799593082</v>
      </c>
      <c r="AK21" s="28">
        <f t="shared" si="8"/>
        <v>98.703888334995014</v>
      </c>
      <c r="AL21" s="28">
        <f t="shared" si="8"/>
        <v>75.189393939393938</v>
      </c>
      <c r="AM21" s="28">
        <f t="shared" si="8"/>
        <v>97.061293031066327</v>
      </c>
      <c r="AN21" s="28">
        <f t="shared" si="8"/>
        <v>99.394463667820062</v>
      </c>
      <c r="AO21" s="28">
        <f t="shared" si="8"/>
        <v>106.61444734551783</v>
      </c>
      <c r="AP21" s="28">
        <f t="shared" si="8"/>
        <v>107.18367346938776</v>
      </c>
      <c r="AQ21" s="28">
        <f t="shared" si="8"/>
        <v>102.05635948210205</v>
      </c>
      <c r="AR21" s="28">
        <f t="shared" si="8"/>
        <v>100.22388059701493</v>
      </c>
      <c r="AS21" s="28">
        <f t="shared" si="8"/>
        <v>106.18019359642592</v>
      </c>
      <c r="AT21" s="28">
        <f t="shared" si="8"/>
        <v>99.649368863955118</v>
      </c>
      <c r="AU21" s="28">
        <f t="shared" si="8"/>
        <v>101.54820548909218</v>
      </c>
      <c r="AV21" s="28">
        <f t="shared" si="8"/>
        <v>103.81150381150381</v>
      </c>
      <c r="AW21" s="28">
        <f t="shared" si="8"/>
        <v>98.531375166889191</v>
      </c>
      <c r="AX21" s="28">
        <f t="shared" si="8"/>
        <v>101.21951219512195</v>
      </c>
      <c r="AY21" s="28">
        <f t="shared" si="8"/>
        <v>100.46854082998662</v>
      </c>
      <c r="AZ21" s="28">
        <f t="shared" si="8"/>
        <v>104.46369087275149</v>
      </c>
      <c r="BA21" s="28">
        <f t="shared" si="8"/>
        <v>103.82653061224489</v>
      </c>
      <c r="BB21" s="28">
        <f t="shared" si="8"/>
        <v>99.201474201474198</v>
      </c>
      <c r="BC21" s="28">
        <f t="shared" si="8"/>
        <v>100</v>
      </c>
      <c r="BD21" s="28">
        <f t="shared" si="8"/>
        <v>101.60990712074303</v>
      </c>
      <c r="BE21" s="28">
        <f t="shared" si="8"/>
        <v>109.93296770262036</v>
      </c>
      <c r="BF21" s="28">
        <f t="shared" si="8"/>
        <v>101.77383592017739</v>
      </c>
      <c r="BG21" s="28">
        <f t="shared" si="8"/>
        <v>101.85185185185186</v>
      </c>
      <c r="BH21" s="28">
        <f t="shared" si="8"/>
        <v>102.83422459893048</v>
      </c>
      <c r="BI21" s="28">
        <f t="shared" si="8"/>
        <v>102.39209568382735</v>
      </c>
      <c r="BJ21" s="28">
        <f t="shared" si="8"/>
        <v>101.82833925850684</v>
      </c>
      <c r="BK21" s="28">
        <f t="shared" si="8"/>
        <v>101.79551122194515</v>
      </c>
      <c r="BL21" s="28">
        <f t="shared" si="8"/>
        <v>101.17589416952475</v>
      </c>
      <c r="BM21" s="28">
        <f t="shared" si="8"/>
        <v>102.08232445520582</v>
      </c>
      <c r="BN21" s="28">
        <f t="shared" si="8"/>
        <v>102.94117647058823</v>
      </c>
      <c r="BO21" s="28">
        <f t="shared" si="8"/>
        <v>101.2442396313364</v>
      </c>
      <c r="BP21" s="28">
        <f t="shared" ref="BP21:EA25" si="11">BP8/BO8*100</f>
        <v>104.41511151570325</v>
      </c>
      <c r="BQ21" s="28">
        <f t="shared" si="11"/>
        <v>102.4411508282476</v>
      </c>
      <c r="BR21" s="28">
        <f t="shared" si="11"/>
        <v>101.06382978723406</v>
      </c>
      <c r="BS21" s="28">
        <f t="shared" si="11"/>
        <v>104.16842105263157</v>
      </c>
      <c r="BT21" s="28">
        <f t="shared" si="11"/>
        <v>102.10185933710589</v>
      </c>
      <c r="BU21" s="28">
        <f t="shared" si="11"/>
        <v>103.00870942201108</v>
      </c>
      <c r="BV21" s="28">
        <f t="shared" si="11"/>
        <v>101.26825518831669</v>
      </c>
      <c r="BW21" s="28">
        <f t="shared" si="11"/>
        <v>100.49335863377608</v>
      </c>
      <c r="BX21" s="28">
        <f t="shared" si="11"/>
        <v>101.58610271903324</v>
      </c>
      <c r="BY21" s="28">
        <f t="shared" si="11"/>
        <v>101.63568773234202</v>
      </c>
      <c r="BZ21" s="28">
        <f t="shared" si="11"/>
        <v>101.865398683248</v>
      </c>
      <c r="CA21" s="28">
        <f t="shared" si="11"/>
        <v>102.9802513464991</v>
      </c>
      <c r="CB21" s="28">
        <f t="shared" si="11"/>
        <v>102.26638772663877</v>
      </c>
      <c r="CC21" s="28">
        <f t="shared" si="11"/>
        <v>101.97749744289123</v>
      </c>
      <c r="CD21" s="28">
        <f t="shared" si="11"/>
        <v>100.53493814777666</v>
      </c>
      <c r="CE21" s="28">
        <f t="shared" si="11"/>
        <v>100.43232457598936</v>
      </c>
      <c r="CF21" s="28">
        <f t="shared" si="11"/>
        <v>100.36423841059603</v>
      </c>
      <c r="CG21" s="28">
        <f t="shared" si="11"/>
        <v>102.11151435169911</v>
      </c>
      <c r="CH21" s="28">
        <f t="shared" si="11"/>
        <v>99.806138933764132</v>
      </c>
      <c r="CI21" s="28">
        <f t="shared" si="11"/>
        <v>97.021689867270965</v>
      </c>
      <c r="CJ21" s="28">
        <f t="shared" si="11"/>
        <v>107.07374040707374</v>
      </c>
      <c r="CK21" s="28">
        <f t="shared" si="11"/>
        <v>95.886569024618268</v>
      </c>
      <c r="CL21" s="28">
        <f t="shared" si="11"/>
        <v>99.675008124796875</v>
      </c>
      <c r="CM21" s="28">
        <f t="shared" si="11"/>
        <v>101.66286273231171</v>
      </c>
      <c r="CN21" s="28">
        <f t="shared" si="11"/>
        <v>99.647209749839632</v>
      </c>
      <c r="CO21" s="28">
        <f t="shared" si="11"/>
        <v>99.517219182491147</v>
      </c>
      <c r="CP21" s="28">
        <f t="shared" si="11"/>
        <v>101.42302716688228</v>
      </c>
      <c r="CQ21" s="28">
        <f t="shared" si="11"/>
        <v>100.15943877551021</v>
      </c>
      <c r="CR21" s="28">
        <f t="shared" si="11"/>
        <v>100.2546959567017</v>
      </c>
      <c r="CS21" s="28">
        <f t="shared" si="11"/>
        <v>100.85741505239758</v>
      </c>
      <c r="CT21" s="28">
        <f t="shared" si="11"/>
        <v>99.496221662468514</v>
      </c>
      <c r="CU21" s="28">
        <f t="shared" si="11"/>
        <v>99.968354430379748</v>
      </c>
      <c r="CV21" s="28">
        <f t="shared" si="11"/>
        <v>101.36119025007915</v>
      </c>
      <c r="CW21" s="28">
        <f t="shared" si="11"/>
        <v>100.84322298563397</v>
      </c>
      <c r="CX21" s="28">
        <f t="shared" si="11"/>
        <v>100.92908021059151</v>
      </c>
      <c r="CY21" s="28">
        <f t="shared" si="11"/>
        <v>100.46026388462718</v>
      </c>
      <c r="CZ21" s="28">
        <f t="shared" si="11"/>
        <v>101.16065974343311</v>
      </c>
      <c r="DA21" s="28">
        <f t="shared" si="11"/>
        <v>100.66425120772946</v>
      </c>
      <c r="DB21" s="28">
        <f t="shared" si="11"/>
        <v>99.730053989202162</v>
      </c>
      <c r="DC21" s="28">
        <f t="shared" si="11"/>
        <v>99.699248120300751</v>
      </c>
      <c r="DD21" s="28">
        <f t="shared" si="11"/>
        <v>99.758672699849171</v>
      </c>
      <c r="DE21" s="28">
        <f t="shared" si="11"/>
        <v>99.395222255820983</v>
      </c>
      <c r="DF21" s="28">
        <f t="shared" si="11"/>
        <v>99.787039853970185</v>
      </c>
      <c r="DG21" s="28">
        <f t="shared" si="11"/>
        <v>99.817073170731703</v>
      </c>
      <c r="DH21" s="28">
        <f t="shared" si="11"/>
        <v>104.61209529627367</v>
      </c>
      <c r="DI21" s="28">
        <f t="shared" si="11"/>
        <v>103.56204379562044</v>
      </c>
      <c r="DJ21" s="28">
        <f t="shared" si="11"/>
        <v>102.19904144347336</v>
      </c>
      <c r="DK21" s="28">
        <f t="shared" si="11"/>
        <v>101.22758620689656</v>
      </c>
      <c r="DL21" s="28">
        <f t="shared" si="11"/>
        <v>101.48521596947813</v>
      </c>
      <c r="DM21" s="28">
        <f t="shared" si="11"/>
        <v>102.22878625134264</v>
      </c>
      <c r="DN21" s="28">
        <f t="shared" si="11"/>
        <v>102.25899658523771</v>
      </c>
      <c r="DO21" s="28">
        <f t="shared" si="11"/>
        <v>100.87336244541486</v>
      </c>
      <c r="DP21" s="28">
        <f t="shared" si="11"/>
        <v>102.21543162719632</v>
      </c>
      <c r="DQ21" s="28">
        <f t="shared" si="11"/>
        <v>100.22620827105133</v>
      </c>
      <c r="DR21" s="28">
        <f t="shared" si="11"/>
        <v>100.21848931664297</v>
      </c>
      <c r="DS21" s="28">
        <f t="shared" si="11"/>
        <v>95.737213749451243</v>
      </c>
      <c r="DT21" s="28">
        <f t="shared" si="11"/>
        <v>98.704663212435236</v>
      </c>
      <c r="DU21" s="28">
        <f t="shared" si="11"/>
        <v>100.65616797900263</v>
      </c>
      <c r="DV21" s="28">
        <f t="shared" si="11"/>
        <v>100.80834419817471</v>
      </c>
      <c r="DW21" s="28">
        <f t="shared" si="11"/>
        <v>101.50025866528711</v>
      </c>
      <c r="DX21" s="28">
        <f t="shared" si="11"/>
        <v>100.31855249745159</v>
      </c>
      <c r="DY21" s="28">
        <f t="shared" si="11"/>
        <v>100.21592785469326</v>
      </c>
      <c r="DZ21" s="28">
        <f t="shared" si="11"/>
        <v>100.30418250950571</v>
      </c>
      <c r="EA21" s="28">
        <f t="shared" si="11"/>
        <v>100.35380338640385</v>
      </c>
      <c r="EB21" s="28">
        <f t="shared" si="9"/>
        <v>100.02518257365902</v>
      </c>
      <c r="EC21" s="28">
        <f t="shared" si="9"/>
        <v>100.0503524672709</v>
      </c>
      <c r="ED21" s="28">
        <f t="shared" si="9"/>
        <v>100.37745344740816</v>
      </c>
      <c r="EE21" s="28">
        <f t="shared" si="9"/>
        <v>100.20055151667084</v>
      </c>
      <c r="EF21" s="28">
        <f t="shared" si="9"/>
        <v>100.60045033775332</v>
      </c>
      <c r="EG21" s="28">
        <f t="shared" si="9"/>
        <v>100.37304153195723</v>
      </c>
      <c r="EH21" s="28">
        <f t="shared" si="9"/>
        <v>100</v>
      </c>
      <c r="EI21" s="28">
        <f t="shared" si="9"/>
        <v>100</v>
      </c>
      <c r="EJ21" s="28">
        <f t="shared" si="9"/>
        <v>100</v>
      </c>
      <c r="EK21" s="28">
        <f t="shared" si="9"/>
        <v>100.07433102081269</v>
      </c>
      <c r="EL21" s="28">
        <f t="shared" si="9"/>
        <v>100.03713790542213</v>
      </c>
      <c r="EM21" s="28">
        <f t="shared" si="9"/>
        <v>100</v>
      </c>
      <c r="EN21" s="28">
        <f t="shared" si="9"/>
        <v>100.03712411830219</v>
      </c>
      <c r="EO21" s="28">
        <f t="shared" si="9"/>
        <v>100</v>
      </c>
      <c r="EP21" s="28">
        <f t="shared" si="9"/>
        <v>100</v>
      </c>
      <c r="EQ21" s="28">
        <f t="shared" si="9"/>
        <v>100</v>
      </c>
      <c r="ER21" s="28">
        <f t="shared" si="9"/>
        <v>100</v>
      </c>
      <c r="ES21" s="28">
        <f t="shared" si="9"/>
        <v>100</v>
      </c>
      <c r="ET21" s="28">
        <f t="shared" si="9"/>
        <v>100</v>
      </c>
      <c r="EU21" s="28">
        <f t="shared" si="9"/>
        <v>100</v>
      </c>
      <c r="EV21" s="28">
        <f t="shared" si="9"/>
        <v>100</v>
      </c>
      <c r="EW21" s="28">
        <f t="shared" si="9"/>
        <v>100</v>
      </c>
      <c r="EX21" s="28">
        <f t="shared" si="9"/>
        <v>100</v>
      </c>
      <c r="EY21" s="28">
        <f t="shared" si="9"/>
        <v>100.0247402276101</v>
      </c>
      <c r="EZ21" s="28">
        <f t="shared" si="9"/>
        <v>100</v>
      </c>
      <c r="FA21" s="28">
        <f t="shared" si="9"/>
        <v>100.12367054167697</v>
      </c>
      <c r="FB21" s="28">
        <f t="shared" si="9"/>
        <v>99.950592885375485</v>
      </c>
      <c r="FC21" s="28">
        <f t="shared" si="9"/>
        <v>100</v>
      </c>
      <c r="FD21" s="28">
        <f t="shared" si="9"/>
        <v>100</v>
      </c>
      <c r="FE21" s="28">
        <f t="shared" si="9"/>
        <v>100.02471576866041</v>
      </c>
      <c r="FF21" s="28">
        <f t="shared" si="9"/>
        <v>100</v>
      </c>
      <c r="FG21" s="28">
        <f t="shared" si="9"/>
        <v>100.03706449221646</v>
      </c>
      <c r="FH21" s="28">
        <f t="shared" si="9"/>
        <v>100.04940101272075</v>
      </c>
      <c r="FI21" s="28">
        <f t="shared" si="9"/>
        <v>100</v>
      </c>
      <c r="FJ21" s="28">
        <f t="shared" si="9"/>
        <v>100</v>
      </c>
      <c r="FK21" s="28">
        <f t="shared" si="9"/>
        <v>100.02468831008517</v>
      </c>
      <c r="FL21" s="28">
        <f t="shared" si="9"/>
        <v>100.02468221646303</v>
      </c>
      <c r="FM21" s="28">
        <f t="shared" si="9"/>
        <v>100</v>
      </c>
      <c r="FN21" s="28">
        <f t="shared" si="9"/>
        <v>100</v>
      </c>
      <c r="FO21" s="28">
        <f t="shared" si="9"/>
        <v>100.08636644046885</v>
      </c>
      <c r="FP21" s="28">
        <f t="shared" si="9"/>
        <v>100.04930966469428</v>
      </c>
      <c r="FQ21" s="28">
        <f t="shared" si="9"/>
        <v>100</v>
      </c>
      <c r="FR21" s="28">
        <f t="shared" si="9"/>
        <v>100.01232134056185</v>
      </c>
      <c r="FS21" s="28">
        <f t="shared" si="9"/>
        <v>100.03695946778366</v>
      </c>
      <c r="FT21" s="28">
        <f t="shared" si="9"/>
        <v>100</v>
      </c>
      <c r="FU21" s="28">
        <f t="shared" si="9"/>
        <v>100</v>
      </c>
      <c r="FV21" s="28">
        <f t="shared" si="9"/>
        <v>100</v>
      </c>
      <c r="FW21" s="28">
        <f t="shared" si="9"/>
        <v>100.07389162561577</v>
      </c>
      <c r="FX21" s="28">
        <f t="shared" si="9"/>
        <v>100</v>
      </c>
      <c r="FY21" s="28">
        <f t="shared" si="9"/>
        <v>100</v>
      </c>
      <c r="FZ21" s="28">
        <f t="shared" si="9"/>
        <v>100</v>
      </c>
      <c r="GA21" s="28">
        <f t="shared" si="9"/>
        <v>100</v>
      </c>
      <c r="GB21" s="28">
        <f t="shared" si="9"/>
        <v>98.781688407580603</v>
      </c>
      <c r="GC21" s="28">
        <f t="shared" si="9"/>
        <v>96.648810265354427</v>
      </c>
      <c r="GD21" s="28">
        <f t="shared" si="9"/>
        <v>99.226604795050264</v>
      </c>
      <c r="GE21" s="28">
        <f t="shared" si="9"/>
        <v>100.12990387113535</v>
      </c>
      <c r="GF21" s="28">
        <f t="shared" si="9"/>
        <v>100</v>
      </c>
      <c r="GG21" s="28">
        <f t="shared" si="9"/>
        <v>99.039958484691226</v>
      </c>
      <c r="GH21" s="28">
        <f t="shared" si="9"/>
        <v>99.135446685878961</v>
      </c>
      <c r="GI21" s="28">
        <f t="shared" si="9"/>
        <v>99.471458773784363</v>
      </c>
      <c r="GJ21" s="28">
        <f t="shared" si="9"/>
        <v>99.335812964930923</v>
      </c>
      <c r="GK21" s="28">
        <f t="shared" si="9"/>
        <v>101.06980476063119</v>
      </c>
      <c r="GL21" s="28">
        <f t="shared" si="9"/>
        <v>99.735379730087331</v>
      </c>
      <c r="GM21" s="28">
        <f>GM8/GL8*100</f>
        <v>100.72963650835764</v>
      </c>
      <c r="GN21" s="28">
        <f t="shared" si="3"/>
        <v>113.84169629922296</v>
      </c>
      <c r="GO21" s="28">
        <f t="shared" si="3"/>
        <v>98.46136048125868</v>
      </c>
      <c r="GP21" s="28">
        <f t="shared" si="3"/>
        <v>101.32769357302314</v>
      </c>
      <c r="GQ21" s="28">
        <f t="shared" si="3"/>
        <v>100</v>
      </c>
      <c r="GR21" s="28">
        <f t="shared" si="3"/>
        <v>100.44063079777365</v>
      </c>
      <c r="GS21" s="28">
        <f t="shared" si="3"/>
        <v>100.66959131840221</v>
      </c>
      <c r="GT21" s="28">
        <f t="shared" si="3"/>
        <v>101.88073394495414</v>
      </c>
      <c r="GU21" s="28">
        <f t="shared" si="3"/>
        <v>100.29266096352994</v>
      </c>
      <c r="GV21" s="28">
        <f t="shared" si="3"/>
        <v>99.708193041526371</v>
      </c>
      <c r="GW21" s="28">
        <f t="shared" si="3"/>
        <v>99.21206663665015</v>
      </c>
      <c r="GX21" s="28">
        <f t="shared" si="3"/>
        <v>99.750397095529848</v>
      </c>
      <c r="GY21" s="28">
        <f t="shared" si="3"/>
        <v>100.90991810737033</v>
      </c>
      <c r="GZ21" s="28">
        <f t="shared" si="3"/>
        <v>99.706943192064927</v>
      </c>
      <c r="HA21" s="28">
        <f t="shared" si="3"/>
        <v>100</v>
      </c>
      <c r="HB21" s="28">
        <f t="shared" si="3"/>
        <v>99.86434546687768</v>
      </c>
      <c r="HC21" s="28">
        <f t="shared" si="3"/>
        <v>98.788770658818208</v>
      </c>
      <c r="HD21" s="28">
        <f t="shared" si="3"/>
        <v>99.427065429127993</v>
      </c>
      <c r="HE21" s="28">
        <f t="shared" si="3"/>
        <v>99.031923475855706</v>
      </c>
      <c r="HF21" s="28">
        <f t="shared" si="3"/>
        <v>98.684976143372509</v>
      </c>
      <c r="HG21" s="28">
        <f t="shared" si="3"/>
        <v>99.009433962264154</v>
      </c>
      <c r="HH21" s="28">
        <f t="shared" si="3"/>
        <v>101.71510242972843</v>
      </c>
      <c r="HI21" s="28">
        <f t="shared" si="3"/>
        <v>103.20843091334895</v>
      </c>
      <c r="HJ21" s="28">
        <f t="shared" si="3"/>
        <v>106.23358941943013</v>
      </c>
      <c r="HK21" s="28">
        <f t="shared" si="3"/>
        <v>100.87879897473454</v>
      </c>
      <c r="HL21" s="28">
        <f t="shared" si="3"/>
        <v>100.13309134906233</v>
      </c>
      <c r="HM21" s="28">
        <f t="shared" si="3"/>
        <v>100</v>
      </c>
      <c r="HN21" s="28">
        <f t="shared" si="3"/>
        <v>98.719188013533099</v>
      </c>
      <c r="HO21" s="28">
        <f t="shared" si="3"/>
        <v>98.408812729498166</v>
      </c>
      <c r="HP21" s="28">
        <f t="shared" si="3"/>
        <v>99.390547263681597</v>
      </c>
      <c r="HQ21" s="28">
        <f t="shared" si="6"/>
        <v>98.160430484294835</v>
      </c>
      <c r="HR21" s="28">
        <f t="shared" si="6"/>
        <v>98.827129015808268</v>
      </c>
      <c r="HS21" s="28">
        <f t="shared" si="6"/>
        <v>98.735810113519094</v>
      </c>
      <c r="HT21" s="28">
        <f t="shared" si="6"/>
        <v>98.014110269140303</v>
      </c>
      <c r="HU21" s="28">
        <f t="shared" si="6"/>
        <v>100.69314849373501</v>
      </c>
      <c r="HV21" s="28">
        <v>99.549907333862862</v>
      </c>
      <c r="HW21" s="28">
        <v>99.547872340425528</v>
      </c>
      <c r="HX21" s="28">
        <v>100.46753940689285</v>
      </c>
      <c r="HY21" s="28">
        <v>100.57173248238264</v>
      </c>
      <c r="HZ21" s="28">
        <v>101.13696456901111</v>
      </c>
      <c r="IA21" s="28">
        <v>102.32679738562092</v>
      </c>
      <c r="IB21" s="28">
        <v>100.613183444047</v>
      </c>
      <c r="IC21" s="28">
        <v>102.2346368715084</v>
      </c>
      <c r="ID21" s="28">
        <v>101.81321410829607</v>
      </c>
      <c r="IE21" s="28">
        <v>101.39058306904123</v>
      </c>
      <c r="IF21" s="28">
        <v>101.90086621751684</v>
      </c>
      <c r="IG21" s="28">
        <v>102.40850059031877</v>
      </c>
      <c r="IH21" s="28">
        <v>101.37191607101683</v>
      </c>
      <c r="II21" s="28">
        <f t="shared" si="4"/>
        <v>101.80825656772434</v>
      </c>
      <c r="IJ21" s="28">
        <f t="shared" si="4"/>
        <v>103.38471849865951</v>
      </c>
      <c r="IK21" s="28">
        <f t="shared" si="4"/>
        <v>101.84764991896273</v>
      </c>
      <c r="IL21" s="28">
        <f t="shared" si="4"/>
        <v>102.71589221302779</v>
      </c>
      <c r="IM21" s="28">
        <f t="shared" si="4"/>
        <v>101.42532534600291</v>
      </c>
      <c r="IN21" s="28">
        <f t="shared" si="4"/>
        <v>101.58859470468431</v>
      </c>
      <c r="IO21" s="28">
        <f t="shared" si="4"/>
        <v>100.01002405773858</v>
      </c>
      <c r="IP21" s="28">
        <f t="shared" si="4"/>
        <v>100.36082990879021</v>
      </c>
      <c r="IQ21" s="28">
        <f t="shared" si="4"/>
        <v>100.82892240087887</v>
      </c>
      <c r="IR21" s="28">
        <f t="shared" si="4"/>
        <v>100.21790808240887</v>
      </c>
      <c r="IS21" s="34">
        <f t="shared" si="4"/>
        <v>100.59300256967781</v>
      </c>
      <c r="IT21" s="28">
        <f t="shared" si="7"/>
        <v>100.1768520337984</v>
      </c>
      <c r="IU21" s="28">
        <f t="shared" si="5"/>
        <v>100.84346802667712</v>
      </c>
      <c r="IV21" s="28">
        <f t="shared" si="5"/>
        <v>100.76833300914218</v>
      </c>
      <c r="IW21" s="28">
        <f t="shared" si="5"/>
        <v>101.66972299971047</v>
      </c>
      <c r="IX21" s="28">
        <f t="shared" si="5"/>
        <v>101.00626542623885</v>
      </c>
      <c r="IY21" s="28">
        <f t="shared" si="5"/>
        <v>99.924812030075188</v>
      </c>
      <c r="IZ21" s="28">
        <f t="shared" si="5"/>
        <v>101.84349134687736</v>
      </c>
      <c r="JA21" s="28">
        <f t="shared" si="5"/>
        <v>100.26782415958625</v>
      </c>
      <c r="JB21" s="28">
        <f t="shared" si="5"/>
        <v>100</v>
      </c>
      <c r="JC21" s="28">
        <f t="shared" si="5"/>
        <v>101.630284609008</v>
      </c>
      <c r="JD21" s="28">
        <f t="shared" si="5"/>
        <v>101.32318288925141</v>
      </c>
      <c r="JE21" s="28">
        <f t="shared" si="5"/>
        <v>101.35957066189624</v>
      </c>
      <c r="JF21" s="28">
        <f t="shared" si="5"/>
        <v>101.55312389692905</v>
      </c>
      <c r="JG21" s="28">
        <f t="shared" si="5"/>
        <v>98.983315954118865</v>
      </c>
      <c r="JH21" s="28">
        <f t="shared" si="5"/>
        <v>99.903432534457039</v>
      </c>
      <c r="JI21" s="28">
        <f t="shared" si="5"/>
        <v>99.797891036906833</v>
      </c>
      <c r="JJ21" s="28">
        <f t="shared" si="5"/>
        <v>99.691820022893367</v>
      </c>
      <c r="JK21" s="28">
        <f t="shared" si="5"/>
        <v>100.00883236177356</v>
      </c>
      <c r="JL21" s="28">
        <f t="shared" si="5"/>
        <v>101.28057935176189</v>
      </c>
      <c r="JM21" s="28">
        <f t="shared" si="5"/>
        <v>100.27903732124173</v>
      </c>
      <c r="JN21" s="28">
        <f t="shared" si="5"/>
        <v>101.46086956521738</v>
      </c>
      <c r="JO21" s="28">
        <f t="shared" si="5"/>
        <v>101.95406239286937</v>
      </c>
      <c r="JP21" s="28">
        <f t="shared" si="5"/>
        <v>101.14324142568931</v>
      </c>
      <c r="JQ21" s="28">
        <f t="shared" si="5"/>
        <v>102.75930851063828</v>
      </c>
      <c r="JR21" s="28">
        <f t="shared" si="5"/>
        <v>99.466192170818516</v>
      </c>
      <c r="JS21" s="28">
        <f t="shared" si="5"/>
        <v>100.17889087656529</v>
      </c>
      <c r="JT21" s="28">
        <f t="shared" si="5"/>
        <v>100.53571428571428</v>
      </c>
      <c r="JU21" s="28">
        <f t="shared" si="5"/>
        <v>101.42095914742453</v>
      </c>
      <c r="JV21" s="28">
        <f t="shared" si="5"/>
        <v>102.70657538608501</v>
      </c>
      <c r="JW21" s="28">
        <f t="shared" si="5"/>
        <v>100.71306774143542</v>
      </c>
      <c r="JX21" s="28">
        <f t="shared" si="5"/>
        <v>100.90811143604741</v>
      </c>
      <c r="JY21" s="28">
        <f t="shared" si="5"/>
        <v>101.18974984746797</v>
      </c>
      <c r="JZ21" s="28">
        <f t="shared" si="5"/>
        <v>104.77841422972567</v>
      </c>
    </row>
    <row r="22" spans="1:286" x14ac:dyDescent="0.25">
      <c r="A22" s="38" t="s">
        <v>23</v>
      </c>
      <c r="C22" s="28">
        <f t="shared" si="10"/>
        <v>103.6801627473148</v>
      </c>
      <c r="D22" s="28">
        <f t="shared" si="8"/>
        <v>108.69421060995617</v>
      </c>
      <c r="E22" s="28">
        <f t="shared" si="8"/>
        <v>102.77029885346786</v>
      </c>
      <c r="F22" s="28">
        <f t="shared" si="8"/>
        <v>101.05423691179702</v>
      </c>
      <c r="G22" s="28">
        <f t="shared" si="8"/>
        <v>100.40621766942731</v>
      </c>
      <c r="H22" s="28">
        <f t="shared" si="8"/>
        <v>96.347059540945054</v>
      </c>
      <c r="I22" s="28">
        <f t="shared" si="8"/>
        <v>99.39402254140866</v>
      </c>
      <c r="J22" s="28">
        <f t="shared" si="8"/>
        <v>101.75901697940813</v>
      </c>
      <c r="K22" s="28">
        <f t="shared" si="8"/>
        <v>103.68046518935039</v>
      </c>
      <c r="L22" s="28">
        <f t="shared" si="8"/>
        <v>100.7175754832316</v>
      </c>
      <c r="M22" s="28">
        <f t="shared" si="8"/>
        <v>100.26831499178084</v>
      </c>
      <c r="N22" s="28">
        <f t="shared" si="8"/>
        <v>97.292574312229448</v>
      </c>
      <c r="O22" s="28">
        <f t="shared" si="8"/>
        <v>105.26660507788709</v>
      </c>
      <c r="P22" s="28">
        <f t="shared" si="8"/>
        <v>101.82812963383461</v>
      </c>
      <c r="Q22" s="28">
        <f t="shared" si="8"/>
        <v>100.19442960364937</v>
      </c>
      <c r="R22" s="28">
        <f t="shared" si="8"/>
        <v>100.21343041995809</v>
      </c>
      <c r="S22" s="28">
        <f t="shared" si="8"/>
        <v>100.38989717147074</v>
      </c>
      <c r="T22" s="28">
        <f t="shared" si="8"/>
        <v>99.348096542317478</v>
      </c>
      <c r="U22" s="28">
        <f t="shared" si="8"/>
        <v>99.899747022729059</v>
      </c>
      <c r="V22" s="28">
        <f t="shared" si="8"/>
        <v>99.617889062624528</v>
      </c>
      <c r="W22" s="28">
        <f t="shared" si="8"/>
        <v>98.157561023380367</v>
      </c>
      <c r="X22" s="28">
        <f t="shared" si="8"/>
        <v>100.17966837656328</v>
      </c>
      <c r="Y22" s="28">
        <f t="shared" si="8"/>
        <v>100.18236497540485</v>
      </c>
      <c r="Z22" s="28">
        <f t="shared" si="8"/>
        <v>100.59154356244493</v>
      </c>
      <c r="AA22" s="28">
        <f t="shared" si="8"/>
        <v>99.337516191257109</v>
      </c>
      <c r="AB22" s="28">
        <f t="shared" si="8"/>
        <v>103.06760295856247</v>
      </c>
      <c r="AC22" s="28">
        <f t="shared" si="8"/>
        <v>99.993427964380061</v>
      </c>
      <c r="AD22" s="28">
        <f t="shared" si="8"/>
        <v>101.57429952954702</v>
      </c>
      <c r="AE22" s="28">
        <f t="shared" si="8"/>
        <v>101.53756244123791</v>
      </c>
      <c r="AF22" s="28">
        <f t="shared" si="8"/>
        <v>101.40962276580044</v>
      </c>
      <c r="AG22" s="28">
        <f t="shared" si="8"/>
        <v>103.42080599812557</v>
      </c>
      <c r="AH22" s="28">
        <f t="shared" si="8"/>
        <v>103.03579519710013</v>
      </c>
      <c r="AI22" s="28">
        <f t="shared" si="8"/>
        <v>103.51802990325419</v>
      </c>
      <c r="AJ22" s="28">
        <f t="shared" si="8"/>
        <v>103.05862361937128</v>
      </c>
      <c r="AK22" s="28">
        <f t="shared" si="8"/>
        <v>98.722176422093995</v>
      </c>
      <c r="AL22" s="28">
        <f t="shared" si="8"/>
        <v>102.46346555323589</v>
      </c>
      <c r="AM22" s="28">
        <f t="shared" si="8"/>
        <v>98.084759576202117</v>
      </c>
      <c r="AN22" s="28">
        <f t="shared" si="8"/>
        <v>100.33236393851269</v>
      </c>
      <c r="AO22" s="28">
        <f t="shared" si="8"/>
        <v>111.13871635610766</v>
      </c>
      <c r="AP22" s="28">
        <f t="shared" si="8"/>
        <v>107.56333830104322</v>
      </c>
      <c r="AQ22" s="28">
        <f t="shared" si="8"/>
        <v>102.28611014894354</v>
      </c>
      <c r="AR22" s="28">
        <f t="shared" si="8"/>
        <v>105.18117168980699</v>
      </c>
      <c r="AS22" s="28">
        <f t="shared" si="8"/>
        <v>105.92401802962009</v>
      </c>
      <c r="AT22" s="28">
        <f t="shared" si="8"/>
        <v>99.422492401215806</v>
      </c>
      <c r="AU22" s="28">
        <f t="shared" si="8"/>
        <v>100.7031488841333</v>
      </c>
      <c r="AV22" s="28">
        <f t="shared" si="8"/>
        <v>104.06800242865816</v>
      </c>
      <c r="AW22" s="28">
        <f t="shared" si="8"/>
        <v>99.504084014002331</v>
      </c>
      <c r="AX22" s="28">
        <f t="shared" si="8"/>
        <v>104.92524186455586</v>
      </c>
      <c r="AY22" s="28">
        <f t="shared" si="8"/>
        <v>102.40290583961999</v>
      </c>
      <c r="AZ22" s="28">
        <f t="shared" si="8"/>
        <v>104.88403819918146</v>
      </c>
      <c r="BA22" s="28">
        <f t="shared" si="8"/>
        <v>101.4828303850156</v>
      </c>
      <c r="BB22" s="28">
        <f t="shared" si="8"/>
        <v>100.33324788515765</v>
      </c>
      <c r="BC22" s="28">
        <f t="shared" si="8"/>
        <v>100.15329586101174</v>
      </c>
      <c r="BD22" s="28">
        <f t="shared" si="8"/>
        <v>101.73469387755102</v>
      </c>
      <c r="BE22" s="28">
        <f t="shared" si="8"/>
        <v>113.35005015045134</v>
      </c>
      <c r="BF22" s="28">
        <f t="shared" si="8"/>
        <v>104.21644102291833</v>
      </c>
      <c r="BG22" s="28">
        <f t="shared" si="8"/>
        <v>104.07556781999577</v>
      </c>
      <c r="BH22" s="28">
        <f t="shared" si="8"/>
        <v>102.65143789516623</v>
      </c>
      <c r="BI22" s="28">
        <f t="shared" si="8"/>
        <v>102.64255910987484</v>
      </c>
      <c r="BJ22" s="28">
        <f t="shared" si="8"/>
        <v>102.33217189314749</v>
      </c>
      <c r="BK22" s="28">
        <f t="shared" si="8"/>
        <v>101.52313070322785</v>
      </c>
      <c r="BL22" s="28">
        <f t="shared" si="8"/>
        <v>102.9811812930874</v>
      </c>
      <c r="BM22" s="28">
        <f t="shared" si="8"/>
        <v>103.15541885290394</v>
      </c>
      <c r="BN22" s="28">
        <f t="shared" si="8"/>
        <v>103.06240572490965</v>
      </c>
      <c r="BO22" s="28">
        <f t="shared" si="8"/>
        <v>104.27161334240979</v>
      </c>
      <c r="BP22" s="28">
        <f t="shared" si="11"/>
        <v>103.65594907785214</v>
      </c>
      <c r="BQ22" s="28">
        <f t="shared" si="11"/>
        <v>101.84222957014643</v>
      </c>
      <c r="BR22" s="28">
        <f t="shared" si="11"/>
        <v>101.63883735312307</v>
      </c>
      <c r="BS22" s="28">
        <f t="shared" si="11"/>
        <v>102.70763614237907</v>
      </c>
      <c r="BT22" s="28">
        <f t="shared" si="11"/>
        <v>102.35485781990523</v>
      </c>
      <c r="BU22" s="28">
        <f t="shared" si="11"/>
        <v>102.60454348140644</v>
      </c>
      <c r="BV22" s="28">
        <f t="shared" si="11"/>
        <v>102.80637427725286</v>
      </c>
      <c r="BW22" s="28">
        <f t="shared" si="11"/>
        <v>101.83813443072702</v>
      </c>
      <c r="BX22" s="28">
        <f t="shared" si="11"/>
        <v>103.03071120689656</v>
      </c>
      <c r="BY22" s="28">
        <f t="shared" si="11"/>
        <v>103.60831481239379</v>
      </c>
      <c r="BZ22" s="28">
        <f t="shared" si="11"/>
        <v>102.71293375394322</v>
      </c>
      <c r="CA22" s="28">
        <f t="shared" si="11"/>
        <v>103.55036855036855</v>
      </c>
      <c r="CB22" s="28">
        <f t="shared" si="11"/>
        <v>102.18293985051608</v>
      </c>
      <c r="CC22" s="28">
        <f t="shared" si="11"/>
        <v>101.3119702774875</v>
      </c>
      <c r="CD22" s="28">
        <f t="shared" si="11"/>
        <v>101.00848040339217</v>
      </c>
      <c r="CE22" s="28">
        <f t="shared" si="11"/>
        <v>102.00816882232813</v>
      </c>
      <c r="CF22" s="28">
        <f t="shared" si="11"/>
        <v>101.95751306862417</v>
      </c>
      <c r="CG22" s="28">
        <f t="shared" si="11"/>
        <v>100.27271735573251</v>
      </c>
      <c r="CH22" s="28">
        <f t="shared" si="11"/>
        <v>94.332027850304613</v>
      </c>
      <c r="CI22" s="28">
        <f t="shared" si="11"/>
        <v>94.54503517472034</v>
      </c>
      <c r="CJ22" s="28">
        <f t="shared" si="11"/>
        <v>104.87923883874117</v>
      </c>
      <c r="CK22" s="28">
        <f t="shared" si="11"/>
        <v>97.278436845778089</v>
      </c>
      <c r="CL22" s="28">
        <f t="shared" si="11"/>
        <v>98.075083692013393</v>
      </c>
      <c r="CM22" s="28">
        <f t="shared" si="11"/>
        <v>100.46324515421188</v>
      </c>
      <c r="CN22" s="28">
        <f t="shared" si="11"/>
        <v>97.925009100837286</v>
      </c>
      <c r="CO22" s="28">
        <f t="shared" si="11"/>
        <v>98.909541511771991</v>
      </c>
      <c r="CP22" s="28">
        <f t="shared" si="11"/>
        <v>101.42821348033073</v>
      </c>
      <c r="CQ22" s="28">
        <f t="shared" si="11"/>
        <v>100.45701581027669</v>
      </c>
      <c r="CR22" s="28">
        <f t="shared" si="11"/>
        <v>100.35657199065535</v>
      </c>
      <c r="CS22" s="28">
        <f t="shared" si="11"/>
        <v>101.54373927958832</v>
      </c>
      <c r="CT22" s="28">
        <f t="shared" si="11"/>
        <v>99.782818532818524</v>
      </c>
      <c r="CU22" s="28">
        <f t="shared" si="11"/>
        <v>99.915356711003625</v>
      </c>
      <c r="CV22" s="28">
        <f t="shared" si="11"/>
        <v>100.06051071039575</v>
      </c>
      <c r="CW22" s="28">
        <f t="shared" si="11"/>
        <v>100.76197387518143</v>
      </c>
      <c r="CX22" s="28">
        <f t="shared" si="11"/>
        <v>100.63617812987637</v>
      </c>
      <c r="CY22" s="28">
        <f t="shared" si="11"/>
        <v>100.81106870229009</v>
      </c>
      <c r="CZ22" s="28">
        <f t="shared" si="11"/>
        <v>99.550402271651677</v>
      </c>
      <c r="DA22" s="28">
        <f t="shared" si="11"/>
        <v>100.19015925837891</v>
      </c>
      <c r="DB22" s="28">
        <f t="shared" si="11"/>
        <v>98.873072360616831</v>
      </c>
      <c r="DC22" s="28">
        <f t="shared" si="11"/>
        <v>98.908218356328732</v>
      </c>
      <c r="DD22" s="28">
        <f t="shared" si="11"/>
        <v>99.090247452692864</v>
      </c>
      <c r="DE22" s="28">
        <f t="shared" si="11"/>
        <v>99.020687966703392</v>
      </c>
      <c r="DF22" s="28">
        <f t="shared" si="11"/>
        <v>99.443688960316479</v>
      </c>
      <c r="DG22" s="28">
        <f t="shared" si="11"/>
        <v>100.08702138239683</v>
      </c>
      <c r="DH22" s="28">
        <f t="shared" si="11"/>
        <v>99.205067693454225</v>
      </c>
      <c r="DI22" s="28">
        <f t="shared" si="11"/>
        <v>99.774633779892326</v>
      </c>
      <c r="DJ22" s="28">
        <f t="shared" si="11"/>
        <v>98.858075040783035</v>
      </c>
      <c r="DK22" s="28">
        <f t="shared" si="11"/>
        <v>101.00913937547602</v>
      </c>
      <c r="DL22" s="28">
        <f t="shared" si="11"/>
        <v>100.04398366321081</v>
      </c>
      <c r="DM22" s="28">
        <f t="shared" si="11"/>
        <v>99.459866850898109</v>
      </c>
      <c r="DN22" s="28">
        <f t="shared" si="11"/>
        <v>102.43748421318514</v>
      </c>
      <c r="DO22" s="28">
        <f t="shared" si="11"/>
        <v>101.60276168166689</v>
      </c>
      <c r="DP22" s="28">
        <f t="shared" si="11"/>
        <v>101.06783157383812</v>
      </c>
      <c r="DQ22" s="28">
        <f t="shared" si="11"/>
        <v>112.02329211189819</v>
      </c>
      <c r="DR22" s="28">
        <f t="shared" si="11"/>
        <v>99.622632207338995</v>
      </c>
      <c r="DS22" s="28">
        <f t="shared" si="11"/>
        <v>99.808180772677531</v>
      </c>
      <c r="DT22" s="28">
        <f t="shared" si="11"/>
        <v>99.672536858466515</v>
      </c>
      <c r="DU22" s="28">
        <f t="shared" si="11"/>
        <v>100.16762193143722</v>
      </c>
      <c r="DV22" s="28">
        <f t="shared" si="11"/>
        <v>100.57219973009445</v>
      </c>
      <c r="DW22" s="28">
        <f t="shared" si="11"/>
        <v>100.18785894476947</v>
      </c>
      <c r="DX22" s="28">
        <f t="shared" si="11"/>
        <v>100</v>
      </c>
      <c r="DY22" s="28">
        <f t="shared" si="11"/>
        <v>100</v>
      </c>
      <c r="DZ22" s="28">
        <f t="shared" si="11"/>
        <v>100.15000535733418</v>
      </c>
      <c r="EA22" s="28">
        <f>EA9/DZ9*100</f>
        <v>100</v>
      </c>
      <c r="EB22" s="28">
        <f t="shared" si="9"/>
        <v>100.08558895902428</v>
      </c>
      <c r="EC22" s="28">
        <f t="shared" si="9"/>
        <v>100.09620523784075</v>
      </c>
      <c r="ED22" s="28">
        <f t="shared" si="9"/>
        <v>100.07475437847073</v>
      </c>
      <c r="EE22" s="28">
        <f t="shared" si="9"/>
        <v>100.11204780706436</v>
      </c>
      <c r="EF22" s="28">
        <f t="shared" si="9"/>
        <v>100.37840430634759</v>
      </c>
      <c r="EG22" s="28">
        <f t="shared" si="9"/>
        <v>100</v>
      </c>
      <c r="EH22" s="28">
        <f t="shared" si="9"/>
        <v>100.10619093129446</v>
      </c>
      <c r="EI22" s="28">
        <f t="shared" si="9"/>
        <v>100</v>
      </c>
      <c r="EJ22" s="28">
        <f t="shared" si="9"/>
        <v>100</v>
      </c>
      <c r="EK22" s="28">
        <f t="shared" si="9"/>
        <v>100</v>
      </c>
      <c r="EL22" s="28">
        <f t="shared" si="9"/>
        <v>100</v>
      </c>
      <c r="EM22" s="28">
        <f t="shared" si="9"/>
        <v>100</v>
      </c>
      <c r="EN22" s="28">
        <f t="shared" si="9"/>
        <v>100.31293094303595</v>
      </c>
      <c r="EO22" s="28">
        <f t="shared" si="9"/>
        <v>100</v>
      </c>
      <c r="EP22" s="28">
        <f t="shared" si="9"/>
        <v>100</v>
      </c>
      <c r="EQ22" s="28">
        <f t="shared" si="9"/>
        <v>99.714482102257733</v>
      </c>
      <c r="ER22" s="28">
        <f t="shared" si="9"/>
        <v>100</v>
      </c>
      <c r="ES22" s="28">
        <f t="shared" si="9"/>
        <v>100</v>
      </c>
      <c r="ET22" s="28">
        <f t="shared" si="9"/>
        <v>100.01060501617265</v>
      </c>
      <c r="EU22" s="28">
        <f t="shared" si="9"/>
        <v>100</v>
      </c>
      <c r="EV22" s="28">
        <f t="shared" si="9"/>
        <v>100</v>
      </c>
      <c r="EW22" s="28">
        <f t="shared" si="9"/>
        <v>100</v>
      </c>
      <c r="EX22" s="28">
        <f t="shared" si="9"/>
        <v>100</v>
      </c>
      <c r="EY22" s="28">
        <f t="shared" si="9"/>
        <v>100.01060389162821</v>
      </c>
      <c r="EZ22" s="28">
        <f t="shared" si="9"/>
        <v>100</v>
      </c>
      <c r="FA22" s="28">
        <f t="shared" si="9"/>
        <v>100</v>
      </c>
      <c r="FB22" s="28">
        <f t="shared" si="9"/>
        <v>99.952287547049778</v>
      </c>
      <c r="FC22" s="28">
        <f t="shared" si="9"/>
        <v>100</v>
      </c>
      <c r="FD22" s="28">
        <f t="shared" si="9"/>
        <v>100.02121565715498</v>
      </c>
      <c r="FE22" s="28">
        <f t="shared" si="9"/>
        <v>100</v>
      </c>
      <c r="FF22" s="28">
        <f t="shared" si="9"/>
        <v>100.00530278926716</v>
      </c>
      <c r="FG22" s="28">
        <f t="shared" si="9"/>
        <v>100</v>
      </c>
      <c r="FH22" s="28">
        <f t="shared" si="9"/>
        <v>100</v>
      </c>
      <c r="FI22" s="28">
        <f t="shared" si="9"/>
        <v>100</v>
      </c>
      <c r="FJ22" s="28">
        <f t="shared" si="9"/>
        <v>100</v>
      </c>
      <c r="FK22" s="28">
        <f t="shared" si="9"/>
        <v>100</v>
      </c>
      <c r="FL22" s="28">
        <f t="shared" si="9"/>
        <v>100.01590752425895</v>
      </c>
      <c r="FM22" s="28">
        <f t="shared" si="9"/>
        <v>100</v>
      </c>
      <c r="FN22" s="28">
        <f t="shared" si="9"/>
        <v>100</v>
      </c>
      <c r="FO22" s="28">
        <f t="shared" si="9"/>
        <v>100.03180998833633</v>
      </c>
      <c r="FP22" s="28">
        <f t="shared" si="9"/>
        <v>100.01059995760018</v>
      </c>
      <c r="FQ22" s="28">
        <f t="shared" si="9"/>
        <v>100.00529941706411</v>
      </c>
      <c r="FR22" s="28">
        <f t="shared" si="9"/>
        <v>100.00529913624081</v>
      </c>
      <c r="FS22" s="28">
        <f t="shared" si="9"/>
        <v>100.00529885544722</v>
      </c>
      <c r="FT22" s="28">
        <f t="shared" si="9"/>
        <v>100</v>
      </c>
      <c r="FU22" s="28">
        <f t="shared" si="9"/>
        <v>100</v>
      </c>
      <c r="FV22" s="28">
        <f t="shared" si="9"/>
        <v>100</v>
      </c>
      <c r="FW22" s="28">
        <f t="shared" si="9"/>
        <v>100.00529857468339</v>
      </c>
      <c r="FX22" s="28">
        <f t="shared" si="9"/>
        <v>100.0105965878987</v>
      </c>
      <c r="FY22" s="28">
        <f t="shared" si="9"/>
        <v>100</v>
      </c>
      <c r="FZ22" s="28">
        <f t="shared" si="9"/>
        <v>100</v>
      </c>
      <c r="GA22" s="28">
        <f t="shared" si="9"/>
        <v>99.984106802288636</v>
      </c>
      <c r="GB22" s="28">
        <f t="shared" si="9"/>
        <v>98.383934721559882</v>
      </c>
      <c r="GC22" s="28">
        <f t="shared" si="9"/>
        <v>97.199482981473508</v>
      </c>
      <c r="GD22" s="28">
        <f t="shared" si="9"/>
        <v>97.406914893617028</v>
      </c>
      <c r="GE22" s="28">
        <f t="shared" si="9"/>
        <v>100.59158134243458</v>
      </c>
      <c r="GF22" s="28">
        <f t="shared" si="9"/>
        <v>100</v>
      </c>
      <c r="GG22" s="28">
        <f t="shared" si="9"/>
        <v>100</v>
      </c>
      <c r="GH22" s="28">
        <f t="shared" si="9"/>
        <v>100.12440624293146</v>
      </c>
      <c r="GI22" s="28">
        <f t="shared" si="9"/>
        <v>100</v>
      </c>
      <c r="GJ22" s="28">
        <f t="shared" si="9"/>
        <v>100.55348469445387</v>
      </c>
      <c r="GK22" s="28">
        <f t="shared" si="9"/>
        <v>100.73017299483263</v>
      </c>
      <c r="GL22" s="28">
        <f t="shared" si="9"/>
        <v>99.821567971450875</v>
      </c>
      <c r="GM22" s="28">
        <f>GM9/GL9*100</f>
        <v>100.45246341190929</v>
      </c>
      <c r="GN22" s="28">
        <f t="shared" si="3"/>
        <v>100.80631707723961</v>
      </c>
      <c r="GO22" s="28">
        <f t="shared" si="3"/>
        <v>99.282877316857892</v>
      </c>
      <c r="GP22" s="28">
        <f t="shared" si="3"/>
        <v>101.41126791865761</v>
      </c>
      <c r="GQ22" s="28">
        <f t="shared" si="3"/>
        <v>100.60267367959676</v>
      </c>
      <c r="GR22" s="28">
        <f t="shared" si="3"/>
        <v>100.29408561158913</v>
      </c>
      <c r="GS22" s="28">
        <f t="shared" si="3"/>
        <v>100.87423979148566</v>
      </c>
      <c r="GT22" s="28">
        <f t="shared" si="3"/>
        <v>99.930020993701902</v>
      </c>
      <c r="GU22" s="28">
        <f t="shared" si="3"/>
        <v>100.51712992889463</v>
      </c>
      <c r="GV22" s="28">
        <f t="shared" si="3"/>
        <v>100.20364415862808</v>
      </c>
      <c r="GW22" s="28">
        <f t="shared" si="3"/>
        <v>100.4385495774949</v>
      </c>
      <c r="GX22" s="28">
        <f t="shared" si="3"/>
        <v>100.19169329073483</v>
      </c>
      <c r="GY22" s="28">
        <f t="shared" si="3"/>
        <v>100.29761904761905</v>
      </c>
      <c r="GZ22" s="28">
        <f t="shared" si="3"/>
        <v>100.40271301398897</v>
      </c>
      <c r="HA22" s="28">
        <f t="shared" si="3"/>
        <v>99.746675110829656</v>
      </c>
      <c r="HB22" s="28">
        <f t="shared" si="3"/>
        <v>100.82539682539682</v>
      </c>
      <c r="HC22" s="28">
        <f t="shared" si="3"/>
        <v>100.335852225021</v>
      </c>
      <c r="HD22" s="28">
        <f t="shared" si="3"/>
        <v>100.20920502092051</v>
      </c>
      <c r="HE22" s="28">
        <f t="shared" si="3"/>
        <v>100.41753653444674</v>
      </c>
      <c r="HF22" s="28">
        <f t="shared" si="3"/>
        <v>100.36382536382536</v>
      </c>
      <c r="HG22" s="28">
        <f t="shared" si="3"/>
        <v>100.3728638011393</v>
      </c>
      <c r="HH22" s="28">
        <f t="shared" si="3"/>
        <v>101.49623361882159</v>
      </c>
      <c r="HI22" s="28">
        <f t="shared" si="3"/>
        <v>95.465636437576237</v>
      </c>
      <c r="HJ22" s="28">
        <f t="shared" si="3"/>
        <v>106.57082002129927</v>
      </c>
      <c r="HK22" s="28">
        <f t="shared" si="3"/>
        <v>101.25911861696812</v>
      </c>
      <c r="HL22" s="28">
        <f t="shared" si="3"/>
        <v>100.38488108161452</v>
      </c>
      <c r="HM22" s="28">
        <f t="shared" si="3"/>
        <v>100</v>
      </c>
      <c r="HN22" s="28">
        <f t="shared" si="3"/>
        <v>99.577270939834833</v>
      </c>
      <c r="HO22" s="28">
        <f t="shared" si="3"/>
        <v>99.220061210386021</v>
      </c>
      <c r="HP22" s="28">
        <f t="shared" si="3"/>
        <v>99.273631840796</v>
      </c>
      <c r="HQ22" s="28">
        <f t="shared" si="6"/>
        <v>99.077879121980558</v>
      </c>
      <c r="HR22" s="28">
        <f t="shared" si="6"/>
        <v>100.56651492159838</v>
      </c>
      <c r="HS22" s="28">
        <f t="shared" si="6"/>
        <v>100.62367971029072</v>
      </c>
      <c r="HT22" s="28">
        <f t="shared" si="6"/>
        <v>99.430170948715386</v>
      </c>
      <c r="HU22" s="28">
        <f t="shared" si="6"/>
        <v>100.40719887391916</v>
      </c>
      <c r="HV22" s="28">
        <v>100.43558804385921</v>
      </c>
      <c r="HW22" s="28">
        <v>100.36889332003986</v>
      </c>
      <c r="HX22" s="28">
        <v>100.32780371510879</v>
      </c>
      <c r="HY22" s="28">
        <v>100.58415841584159</v>
      </c>
      <c r="HZ22" s="28">
        <v>100.42327000689045</v>
      </c>
      <c r="IA22" s="28">
        <v>101.28406194863753</v>
      </c>
      <c r="IB22" s="28">
        <v>100.5467918319946</v>
      </c>
      <c r="IC22" s="28">
        <v>102.2089609702103</v>
      </c>
      <c r="ID22" s="28">
        <v>102.07646671061306</v>
      </c>
      <c r="IE22" s="28">
        <v>101.82203976198166</v>
      </c>
      <c r="IF22" s="28">
        <v>102.37836368578419</v>
      </c>
      <c r="IG22" s="28">
        <v>102.07531306694986</v>
      </c>
      <c r="IH22" s="28">
        <v>101.62129356684584</v>
      </c>
      <c r="II22" s="28">
        <f t="shared" si="4"/>
        <v>101.25415920143332</v>
      </c>
      <c r="IJ22" s="28">
        <f t="shared" si="4"/>
        <v>103.01230198854061</v>
      </c>
      <c r="IK22" s="28">
        <f t="shared" si="4"/>
        <v>101.95902008097828</v>
      </c>
      <c r="IL22" s="28">
        <f t="shared" si="4"/>
        <v>102.39470517448856</v>
      </c>
      <c r="IM22" s="28">
        <f t="shared" si="4"/>
        <v>101.80984839581619</v>
      </c>
      <c r="IN22" s="28">
        <f t="shared" si="4"/>
        <v>101.23513794297587</v>
      </c>
      <c r="IO22" s="28">
        <f t="shared" si="4"/>
        <v>100.0380083618396</v>
      </c>
      <c r="IP22" s="28">
        <f t="shared" si="4"/>
        <v>101.49696048632219</v>
      </c>
      <c r="IQ22" s="28">
        <f t="shared" si="4"/>
        <v>100.61391030920117</v>
      </c>
      <c r="IR22" s="28">
        <f t="shared" si="4"/>
        <v>100.58784135724383</v>
      </c>
      <c r="IS22" s="34">
        <f t="shared" si="4"/>
        <v>100.69536913744636</v>
      </c>
      <c r="IT22" s="28">
        <f t="shared" si="7"/>
        <v>100.74199235968263</v>
      </c>
      <c r="IU22" s="28">
        <f t="shared" si="5"/>
        <v>100.7255888572887</v>
      </c>
      <c r="IV22" s="28">
        <f t="shared" si="5"/>
        <v>101.45158371040723</v>
      </c>
      <c r="IW22" s="28">
        <f t="shared" si="5"/>
        <v>101.48076785841718</v>
      </c>
      <c r="IX22" s="28">
        <f t="shared" si="5"/>
        <v>100.86846454062797</v>
      </c>
      <c r="IY22" s="28">
        <f t="shared" si="5"/>
        <v>100.93418851087563</v>
      </c>
      <c r="IZ22" s="28">
        <f t="shared" si="5"/>
        <v>101.03605470368836</v>
      </c>
      <c r="JA22" s="28">
        <f t="shared" si="5"/>
        <v>101.21684440798468</v>
      </c>
      <c r="JB22" s="28">
        <f t="shared" si="5"/>
        <v>101.56017830609213</v>
      </c>
      <c r="JC22" s="28">
        <f t="shared" si="5"/>
        <v>101.90197512801755</v>
      </c>
      <c r="JD22" s="28">
        <f t="shared" si="5"/>
        <v>101.49448541408341</v>
      </c>
      <c r="JE22" s="28">
        <f t="shared" si="5"/>
        <v>101.11561213991769</v>
      </c>
      <c r="JF22" s="28">
        <f t="shared" si="5"/>
        <v>101.25592191027313</v>
      </c>
      <c r="JG22" s="28">
        <f t="shared" si="5"/>
        <v>101.24662437982792</v>
      </c>
      <c r="JH22" s="28">
        <f t="shared" si="5"/>
        <v>100.66681140092422</v>
      </c>
      <c r="JI22" s="28">
        <f t="shared" si="5"/>
        <v>100.57304824696531</v>
      </c>
      <c r="JJ22" s="28">
        <f t="shared" si="5"/>
        <v>100.49319936282319</v>
      </c>
      <c r="JK22" s="28">
        <f t="shared" si="5"/>
        <v>100.95412284712697</v>
      </c>
      <c r="JL22" s="28">
        <f t="shared" si="5"/>
        <v>100.57068663566639</v>
      </c>
      <c r="JM22" s="28">
        <f t="shared" si="5"/>
        <v>100.92473053712432</v>
      </c>
      <c r="JN22" s="28">
        <f t="shared" si="5"/>
        <v>101.06797560612821</v>
      </c>
      <c r="JO22" s="28">
        <f t="shared" si="5"/>
        <v>101.92794489904044</v>
      </c>
      <c r="JP22" s="28">
        <f t="shared" si="5"/>
        <v>101.41499898928643</v>
      </c>
      <c r="JQ22" s="28">
        <f t="shared" si="5"/>
        <v>100.14522053589225</v>
      </c>
      <c r="JR22" s="28">
        <f t="shared" si="5"/>
        <v>101.01506966164344</v>
      </c>
      <c r="JS22" s="28">
        <f t="shared" si="5"/>
        <v>102.32780702001295</v>
      </c>
      <c r="JT22" s="28">
        <f t="shared" si="5"/>
        <v>100.65467348847446</v>
      </c>
      <c r="JU22" s="28">
        <f t="shared" si="5"/>
        <v>101.56318320944469</v>
      </c>
      <c r="JV22" s="28">
        <f t="shared" si="5"/>
        <v>101.55526853944676</v>
      </c>
      <c r="JW22" s="28">
        <f t="shared" si="5"/>
        <v>102.40580785331991</v>
      </c>
      <c r="JX22" s="28">
        <f t="shared" si="5"/>
        <v>102.47347994825355</v>
      </c>
      <c r="JY22" s="28">
        <f t="shared" si="5"/>
        <v>101.36342978336614</v>
      </c>
      <c r="JZ22" s="28">
        <f>JZ9/JY9*100</f>
        <v>100.97145419219848</v>
      </c>
    </row>
    <row r="23" spans="1:286" x14ac:dyDescent="0.25">
      <c r="A23" s="38" t="s">
        <v>24</v>
      </c>
      <c r="C23" s="28">
        <f t="shared" si="10"/>
        <v>99.088794270692333</v>
      </c>
      <c r="D23" s="28">
        <f t="shared" si="8"/>
        <v>107.5708318348958</v>
      </c>
      <c r="E23" s="28">
        <f t="shared" si="8"/>
        <v>100.10456253311126</v>
      </c>
      <c r="F23" s="28">
        <f t="shared" si="8"/>
        <v>104.26906167314908</v>
      </c>
      <c r="G23" s="28">
        <f t="shared" si="8"/>
        <v>104.22007387329148</v>
      </c>
      <c r="H23" s="28">
        <f t="shared" si="8"/>
        <v>91.866583167442428</v>
      </c>
      <c r="I23" s="28">
        <f t="shared" si="8"/>
        <v>99.763782018569941</v>
      </c>
      <c r="J23" s="28">
        <f t="shared" si="8"/>
        <v>101.84313919774095</v>
      </c>
      <c r="K23" s="28">
        <f t="shared" si="8"/>
        <v>103.69935665124481</v>
      </c>
      <c r="L23" s="28">
        <f t="shared" si="8"/>
        <v>101.60255065892541</v>
      </c>
      <c r="M23" s="28">
        <f t="shared" si="8"/>
        <v>101.26064818974831</v>
      </c>
      <c r="N23" s="28">
        <f t="shared" si="8"/>
        <v>100.18941059051716</v>
      </c>
      <c r="O23" s="28">
        <f t="shared" si="8"/>
        <v>101.57133663851323</v>
      </c>
      <c r="P23" s="28">
        <f t="shared" si="8"/>
        <v>101.05923976305039</v>
      </c>
      <c r="Q23" s="28">
        <f t="shared" si="8"/>
        <v>103.10199717125781</v>
      </c>
      <c r="R23" s="28">
        <f t="shared" si="8"/>
        <v>102.92035949316927</v>
      </c>
      <c r="S23" s="28">
        <f t="shared" si="8"/>
        <v>100.9610588080552</v>
      </c>
      <c r="T23" s="28">
        <f t="shared" si="8"/>
        <v>99.117018712095359</v>
      </c>
      <c r="U23" s="28">
        <f t="shared" si="8"/>
        <v>99.839560554939212</v>
      </c>
      <c r="V23" s="28">
        <f t="shared" si="8"/>
        <v>99.583606462135293</v>
      </c>
      <c r="W23" s="28">
        <f t="shared" si="8"/>
        <v>98.182764132282699</v>
      </c>
      <c r="X23" s="28">
        <f t="shared" si="8"/>
        <v>100.20535471830551</v>
      </c>
      <c r="Y23" s="28">
        <f t="shared" si="8"/>
        <v>100.20801611680827</v>
      </c>
      <c r="Z23" s="28">
        <f t="shared" si="8"/>
        <v>100.64596210173198</v>
      </c>
      <c r="AA23" s="28">
        <f t="shared" si="8"/>
        <v>99.28088134736241</v>
      </c>
      <c r="AB23" s="28">
        <f t="shared" si="8"/>
        <v>102.29424522654233</v>
      </c>
      <c r="AC23" s="28">
        <f t="shared" si="8"/>
        <v>99.008740486933164</v>
      </c>
      <c r="AD23" s="28">
        <f t="shared" si="8"/>
        <v>101.56030956970834</v>
      </c>
      <c r="AE23" s="28">
        <f t="shared" si="8"/>
        <v>100.1940492166531</v>
      </c>
      <c r="AF23" s="28">
        <f t="shared" si="8"/>
        <v>98.815017754355381</v>
      </c>
      <c r="AG23" s="28">
        <f t="shared" si="8"/>
        <v>100.43103448275863</v>
      </c>
      <c r="AH23" s="28">
        <f t="shared" si="8"/>
        <v>99.856938483547935</v>
      </c>
      <c r="AI23" s="28">
        <f t="shared" si="8"/>
        <v>99.570200573065904</v>
      </c>
      <c r="AJ23" s="28">
        <f t="shared" si="8"/>
        <v>99.424460431654666</v>
      </c>
      <c r="AK23" s="28">
        <f t="shared" si="8"/>
        <v>97.395079594790161</v>
      </c>
      <c r="AL23" s="28">
        <f t="shared" si="8"/>
        <v>101.3372956909361</v>
      </c>
      <c r="AM23" s="28">
        <f t="shared" si="8"/>
        <v>96.627565982404704</v>
      </c>
      <c r="AN23" s="28">
        <f t="shared" si="8"/>
        <v>99.241274658573587</v>
      </c>
      <c r="AO23" s="28">
        <f t="shared" si="8"/>
        <v>108.86850152905198</v>
      </c>
      <c r="AP23" s="28">
        <f t="shared" si="8"/>
        <v>104.07303370786518</v>
      </c>
      <c r="AQ23" s="28">
        <f t="shared" si="8"/>
        <v>101.48448043184885</v>
      </c>
      <c r="AR23" s="28">
        <f t="shared" si="8"/>
        <v>109.70744680851064</v>
      </c>
      <c r="AS23" s="28">
        <f t="shared" si="8"/>
        <v>106.06060606060606</v>
      </c>
      <c r="AT23" s="28">
        <f t="shared" si="8"/>
        <v>100</v>
      </c>
      <c r="AU23" s="28">
        <f t="shared" si="8"/>
        <v>100.68571428571428</v>
      </c>
      <c r="AV23" s="28">
        <f t="shared" si="8"/>
        <v>102.04313280363225</v>
      </c>
      <c r="AW23" s="28">
        <f t="shared" si="8"/>
        <v>101.00111234705228</v>
      </c>
      <c r="AX23" s="28">
        <f t="shared" si="8"/>
        <v>101.10132158590308</v>
      </c>
      <c r="AY23" s="28">
        <f t="shared" si="8"/>
        <v>101.30718954248366</v>
      </c>
      <c r="AZ23" s="28">
        <f t="shared" si="8"/>
        <v>104.73118279569893</v>
      </c>
      <c r="BA23" s="28">
        <f t="shared" si="8"/>
        <v>101.84804928131416</v>
      </c>
      <c r="BB23" s="28">
        <f t="shared" si="8"/>
        <v>97.883064516129053</v>
      </c>
      <c r="BC23" s="28">
        <f t="shared" si="8"/>
        <v>100</v>
      </c>
      <c r="BD23" s="28">
        <f t="shared" si="8"/>
        <v>102.57466529351184</v>
      </c>
      <c r="BE23" s="28">
        <f t="shared" si="8"/>
        <v>106.25502008032129</v>
      </c>
      <c r="BF23" s="28">
        <f t="shared" si="8"/>
        <v>103.18435226306342</v>
      </c>
      <c r="BG23" s="28">
        <f t="shared" si="8"/>
        <v>104.39560439560441</v>
      </c>
      <c r="BH23" s="28">
        <f t="shared" si="8"/>
        <v>105</v>
      </c>
      <c r="BI23" s="28">
        <f t="shared" si="8"/>
        <v>101.75438596491229</v>
      </c>
      <c r="BJ23" s="28">
        <f t="shared" si="8"/>
        <v>101.7783251231527</v>
      </c>
      <c r="BK23" s="28">
        <f t="shared" si="8"/>
        <v>101.3181033509188</v>
      </c>
      <c r="BL23" s="28">
        <f t="shared" si="8"/>
        <v>101.43312101910828</v>
      </c>
      <c r="BM23" s="28">
        <f t="shared" si="8"/>
        <v>102.04081632653062</v>
      </c>
      <c r="BN23" s="28">
        <f t="shared" si="8"/>
        <v>102.92307692307692</v>
      </c>
      <c r="BO23" s="28">
        <f t="shared" si="8"/>
        <v>104.11061285500749</v>
      </c>
      <c r="BP23" s="28">
        <f t="shared" si="11"/>
        <v>103.80473797559225</v>
      </c>
      <c r="BQ23" s="28">
        <f t="shared" si="11"/>
        <v>101.52143845089903</v>
      </c>
      <c r="BR23" s="28">
        <f t="shared" si="11"/>
        <v>101.36239782016348</v>
      </c>
      <c r="BS23" s="28">
        <f t="shared" si="11"/>
        <v>103.2258064516129</v>
      </c>
      <c r="BT23" s="28">
        <f t="shared" si="11"/>
        <v>101.69270833333333</v>
      </c>
      <c r="BU23" s="28">
        <f t="shared" si="11"/>
        <v>101.85659411011525</v>
      </c>
      <c r="BV23" s="28">
        <f t="shared" si="11"/>
        <v>103.39409176618479</v>
      </c>
      <c r="BW23" s="28">
        <f t="shared" si="11"/>
        <v>101.64133738601824</v>
      </c>
      <c r="BX23" s="28">
        <f t="shared" si="11"/>
        <v>100.5980861244019</v>
      </c>
      <c r="BY23" s="28">
        <f t="shared" si="11"/>
        <v>102.31866825208084</v>
      </c>
      <c r="BZ23" s="28">
        <f t="shared" si="11"/>
        <v>102.49854735618827</v>
      </c>
      <c r="CA23" s="28">
        <f t="shared" si="11"/>
        <v>103.17460317460316</v>
      </c>
      <c r="CB23" s="28">
        <f t="shared" si="11"/>
        <v>103.73626373626375</v>
      </c>
      <c r="CC23" s="28">
        <f t="shared" si="11"/>
        <v>102.91313559322033</v>
      </c>
      <c r="CD23" s="28">
        <f t="shared" si="11"/>
        <v>102.41893978383942</v>
      </c>
      <c r="CE23" s="28">
        <f t="shared" si="11"/>
        <v>103.81909547738695</v>
      </c>
      <c r="CF23" s="28">
        <f t="shared" si="11"/>
        <v>103.09777347531461</v>
      </c>
      <c r="CG23" s="28">
        <f t="shared" si="11"/>
        <v>100.84507042253522</v>
      </c>
      <c r="CH23" s="28">
        <f t="shared" si="11"/>
        <v>100.55865921787711</v>
      </c>
      <c r="CI23" s="28">
        <f t="shared" si="11"/>
        <v>97.037037037037038</v>
      </c>
      <c r="CJ23" s="28">
        <f t="shared" si="11"/>
        <v>96.135496183206101</v>
      </c>
      <c r="CK23" s="28">
        <f t="shared" si="11"/>
        <v>94.540942928039698</v>
      </c>
      <c r="CL23" s="28">
        <f t="shared" si="11"/>
        <v>99.265091863517057</v>
      </c>
      <c r="CM23" s="28">
        <f t="shared" si="11"/>
        <v>102.11528291909042</v>
      </c>
      <c r="CN23" s="28">
        <f t="shared" si="11"/>
        <v>97.566027964785079</v>
      </c>
      <c r="CO23" s="28">
        <f t="shared" si="11"/>
        <v>102.38853503184713</v>
      </c>
      <c r="CP23" s="28">
        <f t="shared" si="11"/>
        <v>100.77760497667185</v>
      </c>
      <c r="CQ23" s="28">
        <f t="shared" si="11"/>
        <v>102.57201646090535</v>
      </c>
      <c r="CR23" s="28">
        <f t="shared" si="11"/>
        <v>100.75225677031092</v>
      </c>
      <c r="CS23" s="28">
        <f t="shared" si="11"/>
        <v>101.24440019910404</v>
      </c>
      <c r="CT23" s="28">
        <f t="shared" si="11"/>
        <v>101.47492625368733</v>
      </c>
      <c r="CU23" s="28">
        <f t="shared" si="11"/>
        <v>101.45348837209302</v>
      </c>
      <c r="CV23" s="28">
        <f t="shared" si="11"/>
        <v>100.52531041069723</v>
      </c>
      <c r="CW23" s="28">
        <f t="shared" si="11"/>
        <v>100</v>
      </c>
      <c r="CX23" s="28">
        <f t="shared" si="11"/>
        <v>100.80760095011875</v>
      </c>
      <c r="CY23" s="28">
        <f t="shared" si="11"/>
        <v>101.7436380772856</v>
      </c>
      <c r="CZ23" s="28">
        <f t="shared" si="11"/>
        <v>101.20426123205186</v>
      </c>
      <c r="DA23" s="28">
        <f t="shared" si="11"/>
        <v>99.359267734553796</v>
      </c>
      <c r="DB23" s="28">
        <f t="shared" si="11"/>
        <v>98.848456932289253</v>
      </c>
      <c r="DC23" s="28">
        <f t="shared" si="11"/>
        <v>99.207828518173358</v>
      </c>
      <c r="DD23" s="28">
        <f t="shared" si="11"/>
        <v>99.248473461719101</v>
      </c>
      <c r="DE23" s="28">
        <f t="shared" si="11"/>
        <v>99.006152389966871</v>
      </c>
      <c r="DF23" s="28">
        <f t="shared" si="11"/>
        <v>99.139579349904395</v>
      </c>
      <c r="DG23" s="28">
        <f t="shared" si="11"/>
        <v>99.710703953712638</v>
      </c>
      <c r="DH23" s="28">
        <f t="shared" si="11"/>
        <v>97.243713733075438</v>
      </c>
      <c r="DI23" s="28">
        <f t="shared" si="11"/>
        <v>100.99453008453507</v>
      </c>
      <c r="DJ23" s="28">
        <f t="shared" si="11"/>
        <v>100.29542097488921</v>
      </c>
      <c r="DK23" s="28">
        <f t="shared" si="11"/>
        <v>101.91458026509572</v>
      </c>
      <c r="DL23" s="28">
        <f t="shared" si="11"/>
        <v>99.807321772639696</v>
      </c>
      <c r="DM23" s="28">
        <f t="shared" si="11"/>
        <v>100.09652509652508</v>
      </c>
      <c r="DN23" s="28">
        <f t="shared" si="11"/>
        <v>99.180327868852473</v>
      </c>
      <c r="DO23" s="28">
        <f t="shared" si="11"/>
        <v>99.173553719008254</v>
      </c>
      <c r="DP23" s="28">
        <f t="shared" si="11"/>
        <v>102.35294117647058</v>
      </c>
      <c r="DQ23" s="28">
        <f t="shared" si="11"/>
        <v>95.289272030651333</v>
      </c>
      <c r="DR23" s="28">
        <f t="shared" si="11"/>
        <v>99.673307734062462</v>
      </c>
      <c r="DS23" s="28">
        <f t="shared" si="11"/>
        <v>101.20314249120082</v>
      </c>
      <c r="DT23" s="28">
        <f t="shared" si="11"/>
        <v>102.98953662182362</v>
      </c>
      <c r="DU23" s="28">
        <f t="shared" si="11"/>
        <v>100.09675858732463</v>
      </c>
      <c r="DV23" s="28">
        <f t="shared" si="11"/>
        <v>100.77332044465925</v>
      </c>
      <c r="DW23" s="28">
        <f t="shared" si="11"/>
        <v>100.09592326139089</v>
      </c>
      <c r="DX23" s="28">
        <f t="shared" si="11"/>
        <v>100.43124101581218</v>
      </c>
      <c r="DY23" s="28">
        <f t="shared" si="11"/>
        <v>100.42938931297709</v>
      </c>
      <c r="DZ23" s="28">
        <f t="shared" si="11"/>
        <v>100.23752969121138</v>
      </c>
      <c r="EA23" s="28">
        <f>EA10/DZ10*100</f>
        <v>100</v>
      </c>
      <c r="EB23" s="28">
        <f t="shared" si="9"/>
        <v>100.71090047393365</v>
      </c>
      <c r="EC23" s="28">
        <f t="shared" si="9"/>
        <v>100.70588235294117</v>
      </c>
      <c r="ED23" s="28">
        <f t="shared" si="9"/>
        <v>100.79439252336448</v>
      </c>
      <c r="EE23" s="28">
        <f t="shared" si="9"/>
        <v>100</v>
      </c>
      <c r="EF23" s="28">
        <f t="shared" si="9"/>
        <v>100</v>
      </c>
      <c r="EG23" s="28">
        <f t="shared" si="9"/>
        <v>100</v>
      </c>
      <c r="EH23" s="28">
        <f t="shared" si="9"/>
        <v>100</v>
      </c>
      <c r="EI23" s="28">
        <f t="shared" si="9"/>
        <v>100</v>
      </c>
      <c r="EJ23" s="28">
        <f t="shared" si="9"/>
        <v>100</v>
      </c>
      <c r="EK23" s="28">
        <f t="shared" si="9"/>
        <v>100.09272137227632</v>
      </c>
      <c r="EL23" s="28">
        <f t="shared" si="9"/>
        <v>100.0926354793886</v>
      </c>
      <c r="EM23" s="28">
        <f t="shared" si="9"/>
        <v>100.0925497454882</v>
      </c>
      <c r="EN23" s="28">
        <f t="shared" si="9"/>
        <v>100.09246417013409</v>
      </c>
      <c r="EO23" s="28">
        <f t="shared" si="9"/>
        <v>100</v>
      </c>
      <c r="EP23" s="28">
        <f t="shared" si="9"/>
        <v>100</v>
      </c>
      <c r="EQ23" s="28">
        <f t="shared" si="9"/>
        <v>100.04618937644341</v>
      </c>
      <c r="ER23" s="28">
        <f t="shared" si="9"/>
        <v>100.04616805170821</v>
      </c>
      <c r="ES23" s="28">
        <f t="shared" si="9"/>
        <v>100</v>
      </c>
      <c r="ET23" s="28">
        <f t="shared" si="9"/>
        <v>100</v>
      </c>
      <c r="EU23" s="28">
        <f t="shared" si="9"/>
        <v>100</v>
      </c>
      <c r="EV23" s="28">
        <f t="shared" si="9"/>
        <v>100</v>
      </c>
      <c r="EW23" s="28">
        <f t="shared" si="9"/>
        <v>100</v>
      </c>
      <c r="EX23" s="28">
        <f t="shared" si="9"/>
        <v>100</v>
      </c>
      <c r="EY23" s="28">
        <f t="shared" si="9"/>
        <v>100</v>
      </c>
      <c r="EZ23" s="28">
        <f t="shared" si="9"/>
        <v>100</v>
      </c>
      <c r="FA23" s="28">
        <f t="shared" si="9"/>
        <v>100.02307337332719</v>
      </c>
      <c r="FB23" s="28">
        <f t="shared" si="9"/>
        <v>99.930795847750858</v>
      </c>
      <c r="FC23" s="28">
        <f t="shared" si="9"/>
        <v>100</v>
      </c>
      <c r="FD23" s="28">
        <f t="shared" si="9"/>
        <v>100</v>
      </c>
      <c r="FE23" s="28">
        <f t="shared" si="9"/>
        <v>100.06925207756233</v>
      </c>
      <c r="FF23" s="28">
        <f t="shared" si="9"/>
        <v>100</v>
      </c>
      <c r="FG23" s="28">
        <f t="shared" si="9"/>
        <v>100</v>
      </c>
      <c r="FH23" s="28">
        <f t="shared" si="9"/>
        <v>100.04613610149941</v>
      </c>
      <c r="FI23" s="28">
        <f t="shared" si="9"/>
        <v>100</v>
      </c>
      <c r="FJ23" s="28">
        <f t="shared" si="9"/>
        <v>100.04611482591655</v>
      </c>
      <c r="FK23" s="28">
        <f t="shared" si="9"/>
        <v>100</v>
      </c>
      <c r="FL23" s="28">
        <f t="shared" si="9"/>
        <v>100.04609356994698</v>
      </c>
      <c r="FM23" s="28">
        <f t="shared" si="9"/>
        <v>100</v>
      </c>
      <c r="FN23" s="28">
        <f t="shared" si="9"/>
        <v>100.04607233356369</v>
      </c>
      <c r="FO23" s="28">
        <f t="shared" si="9"/>
        <v>100.11512779184896</v>
      </c>
      <c r="FP23" s="28">
        <f t="shared" si="9"/>
        <v>100.06899724011041</v>
      </c>
      <c r="FQ23" s="28">
        <f t="shared" si="9"/>
        <v>100.04596644449551</v>
      </c>
      <c r="FR23" s="28">
        <f t="shared" si="9"/>
        <v>100.04594532506317</v>
      </c>
      <c r="FS23" s="28">
        <f t="shared" si="9"/>
        <v>100.04592422502871</v>
      </c>
      <c r="FT23" s="28">
        <f t="shared" si="9"/>
        <v>100</v>
      </c>
      <c r="FU23" s="28">
        <f t="shared" si="9"/>
        <v>100.06885471654809</v>
      </c>
      <c r="FV23" s="28">
        <f t="shared" si="9"/>
        <v>100</v>
      </c>
      <c r="FW23" s="28">
        <f t="shared" si="9"/>
        <v>100</v>
      </c>
      <c r="FX23" s="28">
        <f t="shared" si="9"/>
        <v>100</v>
      </c>
      <c r="FY23" s="28">
        <f t="shared" si="9"/>
        <v>100</v>
      </c>
      <c r="FZ23" s="28">
        <f t="shared" si="9"/>
        <v>100</v>
      </c>
      <c r="GA23" s="28">
        <f t="shared" si="9"/>
        <v>99.977064220183479</v>
      </c>
      <c r="GB23" s="28">
        <f t="shared" si="9"/>
        <v>100.09176416609316</v>
      </c>
      <c r="GC23" s="28">
        <f t="shared" si="9"/>
        <v>96.332798533119401</v>
      </c>
      <c r="GD23" s="28">
        <f t="shared" si="9"/>
        <v>95.051153937663571</v>
      </c>
      <c r="GE23" s="28">
        <f t="shared" si="9"/>
        <v>99.574468085106389</v>
      </c>
      <c r="GF23" s="28">
        <f t="shared" si="9"/>
        <v>100</v>
      </c>
      <c r="GG23" s="28">
        <f t="shared" si="9"/>
        <v>99.49723479135244</v>
      </c>
      <c r="GH23" s="28">
        <f t="shared" si="9"/>
        <v>98.989388580090946</v>
      </c>
      <c r="GI23" s="28">
        <f t="shared" si="9"/>
        <v>98.672792240939259</v>
      </c>
      <c r="GJ23" s="28">
        <f t="shared" si="9"/>
        <v>100</v>
      </c>
      <c r="GK23" s="28">
        <f t="shared" si="9"/>
        <v>102.5866528711847</v>
      </c>
      <c r="GL23" s="28">
        <f t="shared" si="9"/>
        <v>99.092284417549166</v>
      </c>
      <c r="GM23" s="28">
        <f>GM10/GL10*100</f>
        <v>101.65394402035624</v>
      </c>
      <c r="GN23" s="28">
        <f t="shared" si="3"/>
        <v>105.40675844806006</v>
      </c>
      <c r="GO23" s="28">
        <f t="shared" si="3"/>
        <v>99.335074804084556</v>
      </c>
      <c r="GP23" s="28">
        <f t="shared" si="3"/>
        <v>100.33468802295002</v>
      </c>
      <c r="GQ23" s="28">
        <f t="shared" si="3"/>
        <v>99.83321420061948</v>
      </c>
      <c r="GR23" s="28">
        <f t="shared" si="3"/>
        <v>100.38186157517902</v>
      </c>
      <c r="GS23" s="28">
        <f t="shared" si="3"/>
        <v>98.573466476462201</v>
      </c>
      <c r="GT23" s="28">
        <f t="shared" si="3"/>
        <v>97.68451519536903</v>
      </c>
      <c r="GU23" s="28">
        <f t="shared" si="3"/>
        <v>98.864197530864189</v>
      </c>
      <c r="GV23" s="28">
        <f t="shared" si="3"/>
        <v>99.550449550449542</v>
      </c>
      <c r="GW23" s="28">
        <f t="shared" si="3"/>
        <v>101.05368790767686</v>
      </c>
      <c r="GX23" s="28">
        <f t="shared" si="3"/>
        <v>100.74478649453825</v>
      </c>
      <c r="GY23" s="28">
        <f t="shared" si="3"/>
        <v>100</v>
      </c>
      <c r="GZ23" s="28">
        <f t="shared" si="3"/>
        <v>100.68999507146378</v>
      </c>
      <c r="HA23" s="28">
        <f t="shared" si="3"/>
        <v>100.83210964268234</v>
      </c>
      <c r="HB23" s="28">
        <f t="shared" si="3"/>
        <v>101.55339805825241</v>
      </c>
      <c r="HC23" s="28">
        <f t="shared" si="3"/>
        <v>99.760994263862344</v>
      </c>
      <c r="HD23" s="28">
        <f t="shared" si="3"/>
        <v>100.14374700527074</v>
      </c>
      <c r="HE23" s="28">
        <f t="shared" si="3"/>
        <v>99.760765550239228</v>
      </c>
      <c r="HF23" s="28">
        <f t="shared" si="3"/>
        <v>101.29496402877697</v>
      </c>
      <c r="HG23" s="28">
        <f t="shared" si="3"/>
        <v>101.08901515151516</v>
      </c>
      <c r="HH23" s="28">
        <f t="shared" si="3"/>
        <v>100.32786885245901</v>
      </c>
      <c r="HI23" s="28">
        <f t="shared" si="3"/>
        <v>94.024276377217546</v>
      </c>
      <c r="HJ23" s="28">
        <f t="shared" si="3"/>
        <v>107.89473684210526</v>
      </c>
      <c r="HK23" s="28">
        <f t="shared" si="3"/>
        <v>100.50621260929591</v>
      </c>
      <c r="HL23" s="28">
        <f t="shared" si="3"/>
        <v>100.86996336996337</v>
      </c>
      <c r="HM23" s="28">
        <f t="shared" si="3"/>
        <v>100</v>
      </c>
      <c r="HN23" s="28">
        <f t="shared" si="3"/>
        <v>100</v>
      </c>
      <c r="HO23" s="28">
        <f t="shared" si="3"/>
        <v>99.863822060826152</v>
      </c>
      <c r="HP23" s="28">
        <f t="shared" si="3"/>
        <v>100</v>
      </c>
      <c r="HQ23" s="28">
        <f t="shared" si="6"/>
        <v>98.181818181818187</v>
      </c>
      <c r="HR23" s="28">
        <f t="shared" si="6"/>
        <v>100.60185185185185</v>
      </c>
      <c r="HS23" s="28">
        <f t="shared" si="6"/>
        <v>100.23009664058907</v>
      </c>
      <c r="HT23" s="28">
        <f t="shared" si="6"/>
        <v>98.255280073461876</v>
      </c>
      <c r="HU23" s="28">
        <f t="shared" si="6"/>
        <v>100.2336448598131</v>
      </c>
      <c r="HV23" s="28">
        <v>98.88111888111888</v>
      </c>
      <c r="HW23" s="28">
        <v>100.66006600660067</v>
      </c>
      <c r="HX23" s="28">
        <v>99.859484777517565</v>
      </c>
      <c r="HY23" s="28">
        <v>101.17260787992495</v>
      </c>
      <c r="HZ23" s="28">
        <v>101.1126564673157</v>
      </c>
      <c r="IA23" s="28">
        <v>102.01742320036682</v>
      </c>
      <c r="IB23" s="28">
        <v>100.67415730337079</v>
      </c>
      <c r="IC23" s="28">
        <v>101.36160714285714</v>
      </c>
      <c r="ID23" s="28">
        <v>101.78374807311165</v>
      </c>
      <c r="IE23" s="28">
        <v>102.42319342276072</v>
      </c>
      <c r="IF23" s="28">
        <v>101.85889311364598</v>
      </c>
      <c r="IG23" s="28">
        <v>102.50933222729157</v>
      </c>
      <c r="IH23" s="28">
        <v>101.43637467125228</v>
      </c>
      <c r="II23" s="28">
        <f t="shared" si="4"/>
        <v>100.67810131631431</v>
      </c>
      <c r="IJ23" s="28">
        <f t="shared" si="4"/>
        <v>103.20919175911251</v>
      </c>
      <c r="IK23" s="28">
        <f t="shared" si="4"/>
        <v>102.93666026871402</v>
      </c>
      <c r="IL23" s="28">
        <f t="shared" si="4"/>
        <v>103.41226925228418</v>
      </c>
      <c r="IM23" s="28">
        <f t="shared" si="4"/>
        <v>101.71294626758025</v>
      </c>
      <c r="IN23" s="28">
        <f t="shared" si="4"/>
        <v>101.61318915085977</v>
      </c>
      <c r="IO23" s="28">
        <f t="shared" si="4"/>
        <v>100</v>
      </c>
      <c r="IP23" s="28">
        <f t="shared" si="4"/>
        <v>100.62805303558969</v>
      </c>
      <c r="IQ23" s="28">
        <f t="shared" si="4"/>
        <v>100.83217753120665</v>
      </c>
      <c r="IR23" s="28">
        <f t="shared" si="4"/>
        <v>100.73933975240716</v>
      </c>
      <c r="IS23" s="34">
        <f t="shared" si="4"/>
        <v>100.42669397508108</v>
      </c>
      <c r="IT23" s="28">
        <f t="shared" si="7"/>
        <v>99.660095173351451</v>
      </c>
      <c r="IU23" s="28">
        <f t="shared" si="5"/>
        <v>100.71623465211459</v>
      </c>
      <c r="IV23" s="28">
        <f t="shared" si="5"/>
        <v>101.11750761937013</v>
      </c>
      <c r="IW23" s="28">
        <f t="shared" si="5"/>
        <v>100.30140656396517</v>
      </c>
      <c r="IX23" s="28">
        <f t="shared" si="5"/>
        <v>100.25041736227045</v>
      </c>
      <c r="IY23" s="28">
        <f t="shared" si="5"/>
        <v>100.68276436303081</v>
      </c>
      <c r="IZ23" s="28">
        <f t="shared" si="5"/>
        <v>101.32318888521337</v>
      </c>
      <c r="JA23" s="28">
        <f t="shared" si="5"/>
        <v>101.37120470127326</v>
      </c>
      <c r="JB23" s="28">
        <f t="shared" si="5"/>
        <v>100.7085346215781</v>
      </c>
      <c r="JC23" s="28">
        <f t="shared" si="5"/>
        <v>102.1106491845219</v>
      </c>
      <c r="JD23" s="28">
        <f t="shared" si="5"/>
        <v>101.22142186031944</v>
      </c>
      <c r="JE23" s="28">
        <f t="shared" si="5"/>
        <v>100.89727722772277</v>
      </c>
      <c r="JF23" s="28">
        <f t="shared" si="5"/>
        <v>101.88592456301748</v>
      </c>
      <c r="JG23" s="28">
        <f t="shared" si="5"/>
        <v>101.7005267118134</v>
      </c>
      <c r="JH23" s="28">
        <f t="shared" si="5"/>
        <v>99.141757916543355</v>
      </c>
      <c r="JI23" s="28">
        <f t="shared" si="5"/>
        <v>100.80597014925372</v>
      </c>
      <c r="JJ23" s="28">
        <f t="shared" si="5"/>
        <v>99.496594610601122</v>
      </c>
      <c r="JK23" s="28">
        <f t="shared" si="5"/>
        <v>100.80357142857143</v>
      </c>
      <c r="JL23" s="28">
        <f t="shared" si="5"/>
        <v>100.47239444936523</v>
      </c>
      <c r="JM23" s="28">
        <f t="shared" si="5"/>
        <v>101.20481927710844</v>
      </c>
      <c r="JN23" s="28">
        <f t="shared" si="5"/>
        <v>102.09059233449477</v>
      </c>
      <c r="JO23" s="28">
        <f t="shared" si="5"/>
        <v>103.61205915813423</v>
      </c>
      <c r="JP23" s="28">
        <f t="shared" si="5"/>
        <v>101.07054625308811</v>
      </c>
      <c r="JQ23" s="28">
        <f t="shared" si="5"/>
        <v>101.19500271591527</v>
      </c>
      <c r="JR23" s="28">
        <f t="shared" si="5"/>
        <v>98.792270531400959</v>
      </c>
      <c r="JS23" s="28">
        <f t="shared" si="5"/>
        <v>102.44498777506112</v>
      </c>
      <c r="JT23" s="28">
        <f t="shared" si="5"/>
        <v>100</v>
      </c>
      <c r="JU23" s="28">
        <f t="shared" si="5"/>
        <v>102.22752585521081</v>
      </c>
      <c r="JV23" s="28">
        <f t="shared" si="5"/>
        <v>103.52788586251623</v>
      </c>
      <c r="JW23" s="28">
        <f t="shared" si="5"/>
        <v>102.05462290152842</v>
      </c>
      <c r="JX23" s="28">
        <f t="shared" si="5"/>
        <v>101.15394058433588</v>
      </c>
      <c r="JY23" s="28">
        <f t="shared" si="5"/>
        <v>100.60679611650485</v>
      </c>
      <c r="JZ23" s="28">
        <f t="shared" si="5"/>
        <v>100.36188178528347</v>
      </c>
    </row>
    <row r="24" spans="1:286" x14ac:dyDescent="0.25">
      <c r="A24" s="38" t="s">
        <v>25</v>
      </c>
      <c r="C24" s="28">
        <f t="shared" si="10"/>
        <v>101.58369004292891</v>
      </c>
      <c r="D24" s="28">
        <f t="shared" si="8"/>
        <v>98.587925226798475</v>
      </c>
      <c r="E24" s="28">
        <f t="shared" si="8"/>
        <v>101.20174493082892</v>
      </c>
      <c r="F24" s="28">
        <f t="shared" si="8"/>
        <v>101.47530160847191</v>
      </c>
      <c r="G24" s="28">
        <f t="shared" si="8"/>
        <v>102.82900860908879</v>
      </c>
      <c r="H24" s="28">
        <f t="shared" si="8"/>
        <v>99.799653372156385</v>
      </c>
      <c r="I24" s="28">
        <f t="shared" si="8"/>
        <v>100.32597519939641</v>
      </c>
      <c r="J24" s="28">
        <f t="shared" si="8"/>
        <v>102.04504120678538</v>
      </c>
      <c r="K24" s="28">
        <f t="shared" si="8"/>
        <v>104.5426734217842</v>
      </c>
      <c r="L24" s="28">
        <f t="shared" si="8"/>
        <v>100.57818455677972</v>
      </c>
      <c r="M24" s="28">
        <f t="shared" si="8"/>
        <v>100.26428438324277</v>
      </c>
      <c r="N24" s="28">
        <f t="shared" si="8"/>
        <v>101.63679541998995</v>
      </c>
      <c r="O24" s="28">
        <f t="shared" si="8"/>
        <v>102.36549899428087</v>
      </c>
      <c r="P24" s="28">
        <f t="shared" si="8"/>
        <v>102.46829430603231</v>
      </c>
      <c r="Q24" s="28">
        <f t="shared" si="8"/>
        <v>100.31636378414379</v>
      </c>
      <c r="R24" s="28">
        <f t="shared" si="8"/>
        <v>100.33383047357236</v>
      </c>
      <c r="S24" s="28">
        <f t="shared" si="8"/>
        <v>100.10229745802823</v>
      </c>
      <c r="T24" s="28">
        <f t="shared" si="8"/>
        <v>99.264474482970726</v>
      </c>
      <c r="U24" s="28">
        <f t="shared" si="8"/>
        <v>99.833678914929052</v>
      </c>
      <c r="V24" s="28">
        <f t="shared" si="8"/>
        <v>99.8785127493218</v>
      </c>
      <c r="W24" s="28">
        <f t="shared" si="8"/>
        <v>98.101487009656637</v>
      </c>
      <c r="X24" s="28">
        <f t="shared" si="8"/>
        <v>100.19931184041526</v>
      </c>
      <c r="Y24" s="28">
        <f t="shared" si="8"/>
        <v>100.20198270307104</v>
      </c>
      <c r="Z24" s="28">
        <f t="shared" si="8"/>
        <v>99.792255737039426</v>
      </c>
      <c r="AA24" s="28">
        <f t="shared" si="8"/>
        <v>99.53643059149978</v>
      </c>
      <c r="AB24" s="28">
        <f t="shared" si="8"/>
        <v>103.06997537029896</v>
      </c>
      <c r="AC24" s="28">
        <f t="shared" si="8"/>
        <v>99.605000457225714</v>
      </c>
      <c r="AD24" s="28">
        <f t="shared" si="8"/>
        <v>103.65302394000551</v>
      </c>
      <c r="AE24" s="28">
        <f t="shared" si="8"/>
        <v>100.15844899847568</v>
      </c>
      <c r="AF24" s="28">
        <f t="shared" si="8"/>
        <v>98.278345041503158</v>
      </c>
      <c r="AG24" s="28">
        <f t="shared" si="8"/>
        <v>99.674267100977204</v>
      </c>
      <c r="AH24" s="28">
        <f t="shared" si="8"/>
        <v>99.128540305010887</v>
      </c>
      <c r="AI24" s="28">
        <f t="shared" si="8"/>
        <v>99.340659340659343</v>
      </c>
      <c r="AJ24" s="28">
        <f t="shared" si="8"/>
        <v>102.21238938053099</v>
      </c>
      <c r="AK24" s="28">
        <f t="shared" si="8"/>
        <v>97.835497835497833</v>
      </c>
      <c r="AL24" s="28">
        <f t="shared" si="8"/>
        <v>93.678887484197219</v>
      </c>
      <c r="AM24" s="28">
        <f t="shared" si="8"/>
        <v>96.356275303643727</v>
      </c>
      <c r="AN24" s="28">
        <f t="shared" si="8"/>
        <v>99.474789915966383</v>
      </c>
      <c r="AO24" s="28">
        <f t="shared" si="8"/>
        <v>137.38120380147836</v>
      </c>
      <c r="AP24" s="28">
        <f t="shared" si="8"/>
        <v>105.22674865488086</v>
      </c>
      <c r="AQ24" s="28">
        <f t="shared" si="8"/>
        <v>103.28707085463842</v>
      </c>
      <c r="AR24" s="28">
        <f t="shared" si="8"/>
        <v>107.07213578500708</v>
      </c>
      <c r="AS24" s="28">
        <f t="shared" si="8"/>
        <v>107.52972258916778</v>
      </c>
      <c r="AT24" s="28">
        <f t="shared" si="8"/>
        <v>99.938574938574916</v>
      </c>
      <c r="AU24" s="28">
        <f t="shared" si="8"/>
        <v>101.47510755992626</v>
      </c>
      <c r="AV24" s="28">
        <f t="shared" si="8"/>
        <v>104.30042398546335</v>
      </c>
      <c r="AW24" s="28">
        <f t="shared" si="8"/>
        <v>98.257839721254356</v>
      </c>
      <c r="AX24" s="28">
        <f t="shared" si="8"/>
        <v>106.02836879432623</v>
      </c>
      <c r="AY24" s="28">
        <f t="shared" si="8"/>
        <v>104.01337792642143</v>
      </c>
      <c r="AZ24" s="28">
        <f t="shared" si="8"/>
        <v>102.62593783494106</v>
      </c>
      <c r="BA24" s="28">
        <f t="shared" si="8"/>
        <v>101.25326370757179</v>
      </c>
      <c r="BB24" s="28">
        <f t="shared" si="8"/>
        <v>103.19752449716349</v>
      </c>
      <c r="BC24" s="28">
        <f t="shared" si="8"/>
        <v>100.14992503748125</v>
      </c>
      <c r="BD24" s="28">
        <f t="shared" si="8"/>
        <v>102.21057884231537</v>
      </c>
      <c r="BE24" s="28">
        <f t="shared" si="8"/>
        <v>108.82194990968119</v>
      </c>
      <c r="BF24" s="28">
        <f t="shared" si="8"/>
        <v>107.31269627635712</v>
      </c>
      <c r="BG24" s="28">
        <f t="shared" si="8"/>
        <v>102.34113712374582</v>
      </c>
      <c r="BH24" s="28">
        <f t="shared" si="8"/>
        <v>103.14542483660129</v>
      </c>
      <c r="BI24" s="28">
        <f t="shared" si="8"/>
        <v>101.86138613861387</v>
      </c>
      <c r="BJ24" s="28">
        <f t="shared" si="8"/>
        <v>101.08864696734059</v>
      </c>
      <c r="BK24" s="28">
        <f t="shared" si="8"/>
        <v>101.23076923076924</v>
      </c>
      <c r="BL24" s="28">
        <f t="shared" si="8"/>
        <v>102.31762917933132</v>
      </c>
      <c r="BM24" s="28">
        <f t="shared" ref="D24:BO26" si="12">BM11/BL11*100</f>
        <v>102.37653174897883</v>
      </c>
      <c r="BN24" s="28">
        <f t="shared" si="12"/>
        <v>102.21254987305042</v>
      </c>
      <c r="BO24" s="28">
        <f t="shared" si="12"/>
        <v>102.02271114265437</v>
      </c>
      <c r="BP24" s="28">
        <f t="shared" si="11"/>
        <v>103.79130434782608</v>
      </c>
      <c r="BQ24" s="28">
        <f t="shared" si="11"/>
        <v>102.74798927613942</v>
      </c>
      <c r="BR24" s="28">
        <f t="shared" si="11"/>
        <v>101.63078930202218</v>
      </c>
      <c r="BS24" s="28">
        <f t="shared" si="11"/>
        <v>102.95250320924261</v>
      </c>
      <c r="BT24" s="28">
        <f t="shared" si="11"/>
        <v>102.64962593516209</v>
      </c>
      <c r="BU24" s="28">
        <f t="shared" si="11"/>
        <v>103.40115396295171</v>
      </c>
      <c r="BV24" s="28">
        <f t="shared" si="11"/>
        <v>103.11306901615271</v>
      </c>
      <c r="BW24" s="28">
        <f t="shared" si="11"/>
        <v>103.70264881800057</v>
      </c>
      <c r="BX24" s="28">
        <f t="shared" si="11"/>
        <v>101.81268882175225</v>
      </c>
      <c r="BY24" s="28">
        <f t="shared" si="11"/>
        <v>103.21014297275426</v>
      </c>
      <c r="BZ24" s="28">
        <f t="shared" si="11"/>
        <v>102.4568740198641</v>
      </c>
      <c r="CA24" s="28">
        <f t="shared" si="11"/>
        <v>102.37244897959184</v>
      </c>
      <c r="CB24" s="28">
        <f t="shared" si="11"/>
        <v>102.11811612260155</v>
      </c>
      <c r="CC24" s="28">
        <f t="shared" si="11"/>
        <v>103.12347486578818</v>
      </c>
      <c r="CD24" s="28">
        <f t="shared" si="11"/>
        <v>102.69758637008992</v>
      </c>
      <c r="CE24" s="28">
        <f t="shared" si="11"/>
        <v>102.00460829493088</v>
      </c>
      <c r="CF24" s="28">
        <f t="shared" si="11"/>
        <v>101.71673819742489</v>
      </c>
      <c r="CG24" s="28">
        <f t="shared" si="11"/>
        <v>101.02154119475905</v>
      </c>
      <c r="CH24" s="28">
        <f t="shared" si="11"/>
        <v>99.406462958892078</v>
      </c>
      <c r="CI24" s="28">
        <f t="shared" si="11"/>
        <v>98.540468819106593</v>
      </c>
      <c r="CJ24" s="28">
        <f t="shared" si="11"/>
        <v>110.77199281867145</v>
      </c>
      <c r="CK24" s="28">
        <f t="shared" si="11"/>
        <v>98.683144246353336</v>
      </c>
      <c r="CL24" s="28">
        <f t="shared" si="11"/>
        <v>97.454321494559622</v>
      </c>
      <c r="CM24" s="28">
        <f t="shared" si="11"/>
        <v>100.37918685485569</v>
      </c>
      <c r="CN24" s="28">
        <f t="shared" si="11"/>
        <v>99.664218258132237</v>
      </c>
      <c r="CO24" s="28">
        <f t="shared" si="11"/>
        <v>99.557801642451039</v>
      </c>
      <c r="CP24" s="28">
        <f t="shared" si="11"/>
        <v>100.19035532994923</v>
      </c>
      <c r="CQ24" s="28">
        <f t="shared" si="11"/>
        <v>100.69664344521851</v>
      </c>
      <c r="CR24" s="28">
        <f t="shared" si="11"/>
        <v>100.33542976939202</v>
      </c>
      <c r="CS24" s="28">
        <f t="shared" si="11"/>
        <v>100.04178854993732</v>
      </c>
      <c r="CT24" s="28">
        <f t="shared" si="11"/>
        <v>99.289891395154555</v>
      </c>
      <c r="CU24" s="28">
        <f t="shared" si="11"/>
        <v>99.810685738325631</v>
      </c>
      <c r="CV24" s="28">
        <f t="shared" si="11"/>
        <v>101.36986301369862</v>
      </c>
      <c r="CW24" s="28">
        <f t="shared" si="11"/>
        <v>99.625779625779629</v>
      </c>
      <c r="CX24" s="28">
        <f t="shared" si="11"/>
        <v>100.14607679465777</v>
      </c>
      <c r="CY24" s="28">
        <f t="shared" si="11"/>
        <v>100.68764325901232</v>
      </c>
      <c r="CZ24" s="28">
        <f t="shared" si="11"/>
        <v>100.08278145695364</v>
      </c>
      <c r="DA24" s="28">
        <f t="shared" si="11"/>
        <v>101.24069478908189</v>
      </c>
      <c r="DB24" s="28">
        <f t="shared" si="11"/>
        <v>100.73529411764706</v>
      </c>
      <c r="DC24" s="28">
        <f t="shared" si="11"/>
        <v>99.675587996755894</v>
      </c>
      <c r="DD24" s="28">
        <f t="shared" si="11"/>
        <v>100.44751830756712</v>
      </c>
      <c r="DE24" s="28">
        <f t="shared" si="11"/>
        <v>99.149453219927096</v>
      </c>
      <c r="DF24" s="28">
        <f t="shared" si="11"/>
        <v>99.91830065359477</v>
      </c>
      <c r="DG24" s="28">
        <f t="shared" si="11"/>
        <v>100.10220768601799</v>
      </c>
      <c r="DH24" s="28">
        <f t="shared" si="11"/>
        <v>100.67388196855218</v>
      </c>
      <c r="DI24" s="28">
        <f t="shared" si="11"/>
        <v>100.79107505070995</v>
      </c>
      <c r="DJ24" s="28">
        <f t="shared" si="11"/>
        <v>101.00623867981484</v>
      </c>
      <c r="DK24" s="28">
        <f t="shared" si="11"/>
        <v>100.37856146642756</v>
      </c>
      <c r="DL24" s="28">
        <f t="shared" si="11"/>
        <v>100.27788805081381</v>
      </c>
      <c r="DM24" s="28">
        <f t="shared" si="11"/>
        <v>100.37608867775141</v>
      </c>
      <c r="DN24" s="28">
        <f t="shared" si="11"/>
        <v>99.822520212975746</v>
      </c>
      <c r="DO24" s="28">
        <f t="shared" si="11"/>
        <v>98.478862109838005</v>
      </c>
      <c r="DP24" s="28">
        <f t="shared" si="11"/>
        <v>100.66198595787364</v>
      </c>
      <c r="DQ24" s="28">
        <f t="shared" si="11"/>
        <v>101.18015145476285</v>
      </c>
      <c r="DR24" s="28">
        <f t="shared" si="11"/>
        <v>99.961790113487297</v>
      </c>
      <c r="DS24" s="28">
        <f t="shared" si="11"/>
        <v>97.98474172853517</v>
      </c>
      <c r="DT24" s="28">
        <f t="shared" si="11"/>
        <v>98.099738588377235</v>
      </c>
      <c r="DU24" s="28">
        <f t="shared" si="11"/>
        <v>99.774520856820743</v>
      </c>
      <c r="DV24" s="28">
        <f t="shared" si="11"/>
        <v>100.8423215202876</v>
      </c>
      <c r="DW24" s="28">
        <f t="shared" si="11"/>
        <v>101.38535194051137</v>
      </c>
      <c r="DX24" s="28">
        <f t="shared" si="11"/>
        <v>100.27127499246458</v>
      </c>
      <c r="DY24" s="28">
        <f t="shared" si="11"/>
        <v>101.02204408817634</v>
      </c>
      <c r="DZ24" s="28">
        <f t="shared" si="11"/>
        <v>100.5058520134894</v>
      </c>
      <c r="EA24" s="28">
        <f>EA11/DZ11*100</f>
        <v>100.582255995263</v>
      </c>
      <c r="EB24" s="28">
        <f t="shared" si="9"/>
        <v>100.70643642072213</v>
      </c>
      <c r="EC24" s="28">
        <f t="shared" si="9"/>
        <v>100.74045206547156</v>
      </c>
      <c r="ED24" s="28">
        <f t="shared" si="9"/>
        <v>100.39651837524177</v>
      </c>
      <c r="EE24" s="28">
        <f t="shared" si="9"/>
        <v>100.62614391677103</v>
      </c>
      <c r="EF24" s="28">
        <f t="shared" si="9"/>
        <v>100.76584338502776</v>
      </c>
      <c r="EG24" s="28">
        <f t="shared" si="9"/>
        <v>101.18753562606879</v>
      </c>
      <c r="EH24" s="28">
        <f t="shared" si="9"/>
        <v>100</v>
      </c>
      <c r="EI24" s="28">
        <f t="shared" si="9"/>
        <v>100</v>
      </c>
      <c r="EJ24" s="28">
        <f t="shared" si="9"/>
        <v>79.551215848277153</v>
      </c>
      <c r="EK24" s="28">
        <f t="shared" si="9"/>
        <v>125.9412250678626</v>
      </c>
      <c r="EL24" s="28">
        <f t="shared" si="9"/>
        <v>100.10308312248151</v>
      </c>
      <c r="EM24" s="28">
        <f t="shared" si="9"/>
        <v>100.15914622729825</v>
      </c>
      <c r="EN24" s="28">
        <f t="shared" si="9"/>
        <v>100.10281334704179</v>
      </c>
      <c r="EO24" s="28">
        <f t="shared" si="9"/>
        <v>100</v>
      </c>
      <c r="EP24" s="28">
        <f t="shared" si="9"/>
        <v>100</v>
      </c>
      <c r="EQ24" s="28">
        <f t="shared" si="9"/>
        <v>100.04668534080298</v>
      </c>
      <c r="ER24" s="28">
        <f t="shared" si="9"/>
        <v>100</v>
      </c>
      <c r="ES24" s="28">
        <f t="shared" si="9"/>
        <v>100.06532897806812</v>
      </c>
      <c r="ET24" s="28">
        <f t="shared" si="9"/>
        <v>100</v>
      </c>
      <c r="EU24" s="28">
        <f t="shared" si="9"/>
        <v>100</v>
      </c>
      <c r="EV24" s="28">
        <f t="shared" si="9"/>
        <v>100.111919418019</v>
      </c>
      <c r="EW24" s="28">
        <f t="shared" si="9"/>
        <v>100.03726476616359</v>
      </c>
      <c r="EX24" s="28">
        <f t="shared" si="9"/>
        <v>100</v>
      </c>
      <c r="EY24" s="28">
        <f t="shared" si="9"/>
        <v>100.07450176941701</v>
      </c>
      <c r="EZ24" s="28">
        <f t="shared" si="9"/>
        <v>100</v>
      </c>
      <c r="FA24" s="28">
        <f t="shared" si="9"/>
        <v>100.11166945840313</v>
      </c>
      <c r="FB24" s="28">
        <f t="shared" si="9"/>
        <v>99.916341327384274</v>
      </c>
      <c r="FC24" s="28">
        <f t="shared" si="9"/>
        <v>100.37212763978043</v>
      </c>
      <c r="FD24" s="28">
        <f t="shared" si="9"/>
        <v>100.05561219760868</v>
      </c>
      <c r="FE24" s="28">
        <f t="shared" si="9"/>
        <v>100.02779064381659</v>
      </c>
      <c r="FF24" s="28">
        <f t="shared" si="9"/>
        <v>100.15743656232634</v>
      </c>
      <c r="FG24" s="28">
        <f t="shared" si="9"/>
        <v>100.01849283402682</v>
      </c>
      <c r="FH24" s="28">
        <f t="shared" si="9"/>
        <v>100.01848941481003</v>
      </c>
      <c r="FI24" s="28">
        <f t="shared" si="9"/>
        <v>100.05545799057212</v>
      </c>
      <c r="FJ24" s="28">
        <f t="shared" si="9"/>
        <v>100.03695150115475</v>
      </c>
      <c r="FK24" s="28">
        <f t="shared" si="9"/>
        <v>100.03693785206391</v>
      </c>
      <c r="FL24" s="28">
        <f t="shared" si="9"/>
        <v>100.10154158589495</v>
      </c>
      <c r="FM24" s="28">
        <f t="shared" si="9"/>
        <v>100.09221689413501</v>
      </c>
      <c r="FN24" s="28">
        <f t="shared" si="9"/>
        <v>100.02763957987837</v>
      </c>
      <c r="FO24" s="28">
        <f t="shared" si="9"/>
        <v>100.11973841761078</v>
      </c>
      <c r="FP24" s="28">
        <f t="shared" si="9"/>
        <v>100.08279668813248</v>
      </c>
      <c r="FQ24" s="28">
        <f t="shared" si="9"/>
        <v>100.03676808530197</v>
      </c>
      <c r="FR24" s="28">
        <f t="shared" si="9"/>
        <v>100</v>
      </c>
      <c r="FS24" s="28">
        <f t="shared" si="9"/>
        <v>100.11945235688688</v>
      </c>
      <c r="FT24" s="28">
        <f t="shared" si="9"/>
        <v>100</v>
      </c>
      <c r="FU24" s="28">
        <f t="shared" si="9"/>
        <v>100.09177679882524</v>
      </c>
      <c r="FV24" s="28">
        <f t="shared" si="9"/>
        <v>100.05501558774988</v>
      </c>
      <c r="FW24" s="28">
        <f t="shared" si="9"/>
        <v>100.1282991202346</v>
      </c>
      <c r="FX24" s="28">
        <f t="shared" si="9"/>
        <v>100.05491488193302</v>
      </c>
      <c r="FY24" s="28">
        <f t="shared" si="9"/>
        <v>100.06403219904867</v>
      </c>
      <c r="FZ24" s="28">
        <f t="shared" si="9"/>
        <v>106.44940122497486</v>
      </c>
      <c r="GA24" s="28">
        <f t="shared" si="9"/>
        <v>100.0500951808436</v>
      </c>
      <c r="GB24" s="28">
        <f t="shared" si="9"/>
        <v>100.06008411776489</v>
      </c>
      <c r="GC24" s="28">
        <f t="shared" si="9"/>
        <v>99.919935948759004</v>
      </c>
      <c r="GD24" s="28">
        <f t="shared" si="9"/>
        <v>100.86137820512822</v>
      </c>
      <c r="GE24" s="28">
        <f t="shared" si="9"/>
        <v>99.90069513406155</v>
      </c>
      <c r="GF24" s="28">
        <f t="shared" si="9"/>
        <v>100.33797216699803</v>
      </c>
      <c r="GG24" s="28">
        <f t="shared" si="9"/>
        <v>100.23776500891618</v>
      </c>
      <c r="GH24" s="28">
        <f t="shared" si="9"/>
        <v>100.81043684522632</v>
      </c>
      <c r="GI24" s="28">
        <f t="shared" si="9"/>
        <v>100</v>
      </c>
      <c r="GJ24" s="28">
        <f t="shared" si="9"/>
        <v>100.52941176470588</v>
      </c>
      <c r="GK24" s="28">
        <f t="shared" si="9"/>
        <v>100</v>
      </c>
      <c r="GL24" s="28">
        <f t="shared" si="9"/>
        <v>100.97522917885702</v>
      </c>
      <c r="GM24" s="28">
        <f t="shared" ref="GM24:HB26" si="13">GM11/GL11*100</f>
        <v>99.652308286652499</v>
      </c>
      <c r="GN24" s="28">
        <f t="shared" si="13"/>
        <v>105.37894940880015</v>
      </c>
      <c r="GO24" s="28">
        <f t="shared" si="13"/>
        <v>99.806861031913911</v>
      </c>
      <c r="GP24" s="28">
        <f t="shared" si="3"/>
        <v>100.98599336527829</v>
      </c>
      <c r="GQ24" s="28">
        <f t="shared" si="3"/>
        <v>100.06387444109863</v>
      </c>
      <c r="GR24" s="28">
        <f t="shared" si="3"/>
        <v>100.18238190771476</v>
      </c>
      <c r="GS24" s="28">
        <f t="shared" si="3"/>
        <v>100.14563990533405</v>
      </c>
      <c r="GT24" s="28">
        <f t="shared" si="3"/>
        <v>100.99072895837122</v>
      </c>
      <c r="GU24" s="28">
        <f t="shared" si="3"/>
        <v>99.45099450994509</v>
      </c>
      <c r="GV24" s="28">
        <f t="shared" si="3"/>
        <v>100.56108597285069</v>
      </c>
      <c r="GW24" s="28">
        <f t="shared" si="3"/>
        <v>100.32397408207343</v>
      </c>
      <c r="GX24" s="28">
        <f t="shared" si="3"/>
        <v>100.41263006817364</v>
      </c>
      <c r="GY24" s="28">
        <f t="shared" si="3"/>
        <v>100.37520100053601</v>
      </c>
      <c r="GZ24" s="28">
        <f t="shared" si="3"/>
        <v>100</v>
      </c>
      <c r="HA24" s="28">
        <f t="shared" si="3"/>
        <v>100.81879672481311</v>
      </c>
      <c r="HB24" s="28">
        <f t="shared" si="3"/>
        <v>99.717514124293785</v>
      </c>
      <c r="HC24" s="28">
        <f t="shared" si="3"/>
        <v>100.14164305949009</v>
      </c>
      <c r="HD24" s="28">
        <f t="shared" si="3"/>
        <v>100.26520509193777</v>
      </c>
      <c r="HE24" s="28">
        <f t="shared" si="3"/>
        <v>100.33503791218479</v>
      </c>
      <c r="HF24" s="28">
        <f t="shared" si="3"/>
        <v>100.40421792618631</v>
      </c>
      <c r="HG24" s="28">
        <f t="shared" si="3"/>
        <v>100.28006301417818</v>
      </c>
      <c r="HH24" s="28">
        <f t="shared" si="3"/>
        <v>100.55856170361321</v>
      </c>
      <c r="HI24" s="28">
        <f t="shared" si="3"/>
        <v>96.754035757680953</v>
      </c>
      <c r="HJ24" s="28">
        <f t="shared" si="3"/>
        <v>120.06458557588806</v>
      </c>
      <c r="HK24" s="28">
        <f t="shared" si="3"/>
        <v>100.8248162094316</v>
      </c>
      <c r="HL24" s="28">
        <f t="shared" si="3"/>
        <v>100.80028454561622</v>
      </c>
      <c r="HM24" s="28">
        <f t="shared" si="3"/>
        <v>100</v>
      </c>
      <c r="HN24" s="28">
        <f t="shared" si="3"/>
        <v>99.15314043754411</v>
      </c>
      <c r="HO24" s="28">
        <f t="shared" si="3"/>
        <v>99.466192170818502</v>
      </c>
      <c r="HP24" s="28">
        <f t="shared" si="3"/>
        <v>98.783542039355993</v>
      </c>
      <c r="HQ24" s="28">
        <f t="shared" si="6"/>
        <v>100.83303151032234</v>
      </c>
      <c r="HR24" s="28">
        <f t="shared" si="6"/>
        <v>99.048132183908038</v>
      </c>
      <c r="HS24" s="28">
        <f t="shared" si="6"/>
        <v>99.292837715321852</v>
      </c>
      <c r="HT24" s="28">
        <f t="shared" si="6"/>
        <v>98.557341124908689</v>
      </c>
      <c r="HU24" s="28">
        <f t="shared" si="6"/>
        <v>98.480637391143233</v>
      </c>
      <c r="HV24" s="28">
        <v>99.247412982126065</v>
      </c>
      <c r="HW24" s="28">
        <v>99.545023696682463</v>
      </c>
      <c r="HX24" s="28">
        <v>99.485812226242615</v>
      </c>
      <c r="HY24" s="28">
        <v>99.215160796324653</v>
      </c>
      <c r="HZ24" s="28">
        <v>100.3472892147405</v>
      </c>
      <c r="IA24" s="28">
        <v>101.48048452220726</v>
      </c>
      <c r="IB24" s="28">
        <v>100.57787040545661</v>
      </c>
      <c r="IC24" s="28">
        <v>101.32805877366489</v>
      </c>
      <c r="ID24" s="28">
        <v>100.89235917456776</v>
      </c>
      <c r="IE24" s="28">
        <v>100.25796941219826</v>
      </c>
      <c r="IF24" s="28">
        <v>100.83624333762175</v>
      </c>
      <c r="IG24" s="28">
        <v>101.56748382393145</v>
      </c>
      <c r="IH24" s="28">
        <v>100.99596231493943</v>
      </c>
      <c r="II24" s="28">
        <f t="shared" si="4"/>
        <v>100.77292110874201</v>
      </c>
      <c r="IJ24" s="28">
        <f t="shared" si="4"/>
        <v>101.789650004408</v>
      </c>
      <c r="IK24" s="28">
        <f t="shared" si="4"/>
        <v>101.71487961198685</v>
      </c>
      <c r="IL24" s="28">
        <f t="shared" si="4"/>
        <v>102.79291553133515</v>
      </c>
      <c r="IM24" s="28">
        <f t="shared" si="4"/>
        <v>101.30881378396288</v>
      </c>
      <c r="IN24" s="28">
        <f t="shared" si="4"/>
        <v>101.43090760425184</v>
      </c>
      <c r="IO24" s="28">
        <f t="shared" si="4"/>
        <v>99.709794437726714</v>
      </c>
      <c r="IP24" s="28">
        <f t="shared" si="4"/>
        <v>100.68720187565687</v>
      </c>
      <c r="IQ24" s="28">
        <f t="shared" si="4"/>
        <v>100.73871848402121</v>
      </c>
      <c r="IR24" s="28">
        <f t="shared" si="4"/>
        <v>100.14347202295552</v>
      </c>
      <c r="IS24" s="34">
        <f t="shared" si="4"/>
        <v>100.95510983763131</v>
      </c>
      <c r="IT24" s="28">
        <f t="shared" si="7"/>
        <v>100.8908861557868</v>
      </c>
      <c r="IU24" s="28">
        <f t="shared" si="5"/>
        <v>100.7736188169102</v>
      </c>
      <c r="IV24" s="28">
        <f t="shared" si="5"/>
        <v>101.76023573200992</v>
      </c>
      <c r="IW24" s="28">
        <f t="shared" si="5"/>
        <v>101.25733445096397</v>
      </c>
      <c r="IX24" s="28">
        <f t="shared" si="5"/>
        <v>101.55027092113184</v>
      </c>
      <c r="IY24" s="28">
        <f t="shared" si="5"/>
        <v>101.6303542315103</v>
      </c>
      <c r="IZ24" s="28">
        <f t="shared" si="5"/>
        <v>101.83753828204753</v>
      </c>
      <c r="JA24" s="28">
        <f t="shared" si="5"/>
        <v>101.48933123299442</v>
      </c>
      <c r="JB24" s="28">
        <f t="shared" si="5"/>
        <v>102.15182728940313</v>
      </c>
      <c r="JC24" s="28">
        <f t="shared" si="5"/>
        <v>102.25844326265626</v>
      </c>
      <c r="JD24" s="28">
        <f t="shared" si="5"/>
        <v>101.0266108334459</v>
      </c>
      <c r="JE24" s="28">
        <f t="shared" si="5"/>
        <v>101.02954940500067</v>
      </c>
      <c r="JF24" s="28">
        <f t="shared" si="5"/>
        <v>100.58231868713605</v>
      </c>
      <c r="JG24" s="28">
        <f t="shared" si="5"/>
        <v>100.86842105263159</v>
      </c>
      <c r="JH24" s="28">
        <f t="shared" si="5"/>
        <v>100.91312288025046</v>
      </c>
      <c r="JI24" s="28">
        <f t="shared" si="5"/>
        <v>100.18097207859358</v>
      </c>
      <c r="JJ24" s="28">
        <f t="shared" si="5"/>
        <v>100.15483870967743</v>
      </c>
      <c r="JK24" s="28">
        <f t="shared" si="5"/>
        <v>100.65704715279567</v>
      </c>
      <c r="JL24" s="28">
        <f t="shared" si="5"/>
        <v>100.20478689363881</v>
      </c>
      <c r="JM24" s="28">
        <f t="shared" si="5"/>
        <v>101.57108187507984</v>
      </c>
      <c r="JN24" s="28">
        <f t="shared" si="5"/>
        <v>101.6725352112676</v>
      </c>
      <c r="JO24" s="28">
        <f t="shared" si="5"/>
        <v>101.99134199134198</v>
      </c>
      <c r="JP24" s="28">
        <f t="shared" si="5"/>
        <v>102.06160562697065</v>
      </c>
      <c r="JQ24" s="28">
        <f t="shared" si="5"/>
        <v>101.30703422053232</v>
      </c>
      <c r="JR24" s="28">
        <f t="shared" si="5"/>
        <v>101.63030729533193</v>
      </c>
      <c r="JS24" s="28">
        <f t="shared" si="5"/>
        <v>102.12348528563184</v>
      </c>
      <c r="JT24" s="28">
        <f t="shared" si="5"/>
        <v>99.785286473047805</v>
      </c>
      <c r="JU24" s="28">
        <f t="shared" si="5"/>
        <v>102.23103057757645</v>
      </c>
      <c r="JV24" s="28">
        <f t="shared" si="5"/>
        <v>100.73113991359254</v>
      </c>
      <c r="JW24" s="28">
        <f t="shared" si="5"/>
        <v>101.7266028813373</v>
      </c>
      <c r="JX24" s="28">
        <f t="shared" si="5"/>
        <v>101.56756756756758</v>
      </c>
      <c r="JY24" s="28">
        <f t="shared" si="5"/>
        <v>101.19212346993081</v>
      </c>
      <c r="JZ24" s="28">
        <f t="shared" si="5"/>
        <v>100.62059535079415</v>
      </c>
    </row>
    <row r="25" spans="1:286" x14ac:dyDescent="0.25">
      <c r="A25" s="38" t="s">
        <v>26</v>
      </c>
      <c r="C25" s="28">
        <f t="shared" si="10"/>
        <v>100.41391375227737</v>
      </c>
      <c r="D25" s="28">
        <f t="shared" si="12"/>
        <v>112.27099320182947</v>
      </c>
      <c r="E25" s="28">
        <f t="shared" si="12"/>
        <v>100.44523998281112</v>
      </c>
      <c r="F25" s="28">
        <f t="shared" si="12"/>
        <v>102.53461536938902</v>
      </c>
      <c r="G25" s="28">
        <f t="shared" si="12"/>
        <v>100.42134250450592</v>
      </c>
      <c r="H25" s="28">
        <f t="shared" si="12"/>
        <v>97.853110120993719</v>
      </c>
      <c r="I25" s="28">
        <f t="shared" si="12"/>
        <v>99.157664792187873</v>
      </c>
      <c r="J25" s="28">
        <f t="shared" si="12"/>
        <v>101.34192544640783</v>
      </c>
      <c r="K25" s="28">
        <f t="shared" si="12"/>
        <v>103.29078363901007</v>
      </c>
      <c r="L25" s="28">
        <f t="shared" si="12"/>
        <v>100.56153687070235</v>
      </c>
      <c r="M25" s="28">
        <f t="shared" si="12"/>
        <v>100.66849959989534</v>
      </c>
      <c r="N25" s="28">
        <f t="shared" si="12"/>
        <v>101.72610516899138</v>
      </c>
      <c r="O25" s="28">
        <f t="shared" si="12"/>
        <v>102.79100464597775</v>
      </c>
      <c r="P25" s="28">
        <f t="shared" si="12"/>
        <v>100.10865034320669</v>
      </c>
      <c r="Q25" s="28">
        <f t="shared" si="12"/>
        <v>101.53198911151109</v>
      </c>
      <c r="R25" s="28">
        <f t="shared" si="12"/>
        <v>100.61705556112399</v>
      </c>
      <c r="S25" s="28">
        <f t="shared" si="12"/>
        <v>100.03269633824668</v>
      </c>
      <c r="T25" s="28">
        <f t="shared" si="12"/>
        <v>99.115211619541228</v>
      </c>
      <c r="U25" s="28">
        <f t="shared" si="12"/>
        <v>99.837743277123067</v>
      </c>
      <c r="V25" s="28">
        <f t="shared" si="12"/>
        <v>99.57999016895576</v>
      </c>
      <c r="W25" s="28">
        <f t="shared" si="12"/>
        <v>98.101487009656651</v>
      </c>
      <c r="X25" s="28">
        <f t="shared" si="12"/>
        <v>100.12247187734744</v>
      </c>
      <c r="Y25" s="28">
        <f t="shared" si="12"/>
        <v>100.12519957456296</v>
      </c>
      <c r="Z25" s="28">
        <f t="shared" si="12"/>
        <v>100.64434570376837</v>
      </c>
      <c r="AA25" s="28">
        <f t="shared" si="12"/>
        <v>99.361270724971632</v>
      </c>
      <c r="AB25" s="28">
        <f t="shared" si="12"/>
        <v>99.579614006123933</v>
      </c>
      <c r="AC25" s="28">
        <f t="shared" si="12"/>
        <v>98.92908743746662</v>
      </c>
      <c r="AD25" s="28">
        <f t="shared" si="12"/>
        <v>99.244862260336049</v>
      </c>
      <c r="AE25" s="28">
        <f t="shared" si="12"/>
        <v>98.574045935325543</v>
      </c>
      <c r="AF25" s="28">
        <f t="shared" si="12"/>
        <v>102.01047269684203</v>
      </c>
      <c r="AG25" s="28">
        <f t="shared" si="12"/>
        <v>103.97041582333489</v>
      </c>
      <c r="AH25" s="28">
        <f t="shared" si="12"/>
        <v>104.34782608695652</v>
      </c>
      <c r="AI25" s="28">
        <f t="shared" si="12"/>
        <v>104.56989247311827</v>
      </c>
      <c r="AJ25" s="28">
        <f t="shared" si="12"/>
        <v>105.01285347043702</v>
      </c>
      <c r="AK25" s="28">
        <f t="shared" si="12"/>
        <v>98.408812729498166</v>
      </c>
      <c r="AL25" s="28">
        <f t="shared" si="12"/>
        <v>102.36318407960199</v>
      </c>
      <c r="AM25" s="28">
        <f t="shared" si="12"/>
        <v>97.083839611178618</v>
      </c>
      <c r="AN25" s="28">
        <f t="shared" si="12"/>
        <v>100.12515644555695</v>
      </c>
      <c r="AO25" s="28">
        <f t="shared" si="12"/>
        <v>112.99999999999999</v>
      </c>
      <c r="AP25" s="28">
        <f t="shared" si="12"/>
        <v>105.53097345132744</v>
      </c>
      <c r="AQ25" s="28">
        <f t="shared" si="12"/>
        <v>101.67714884696018</v>
      </c>
      <c r="AR25" s="28">
        <f t="shared" si="12"/>
        <v>107.83505154639175</v>
      </c>
      <c r="AS25" s="28">
        <f t="shared" si="12"/>
        <v>108.4130019120459</v>
      </c>
      <c r="AT25" s="28">
        <f t="shared" si="12"/>
        <v>100.26455026455025</v>
      </c>
      <c r="AU25" s="28">
        <f t="shared" si="12"/>
        <v>101.05540897097625</v>
      </c>
      <c r="AV25" s="28">
        <f t="shared" si="12"/>
        <v>104.43864229765015</v>
      </c>
      <c r="AW25" s="28">
        <f t="shared" si="12"/>
        <v>99.833333333333343</v>
      </c>
      <c r="AX25" s="28">
        <f t="shared" si="12"/>
        <v>106.26043405676127</v>
      </c>
      <c r="AY25" s="28">
        <f t="shared" si="12"/>
        <v>104.63472113118617</v>
      </c>
      <c r="AZ25" s="28">
        <f t="shared" si="12"/>
        <v>104.42942942942943</v>
      </c>
      <c r="BA25" s="28">
        <f t="shared" si="12"/>
        <v>102.7318475916607</v>
      </c>
      <c r="BB25" s="28">
        <f t="shared" si="12"/>
        <v>101.81945416375086</v>
      </c>
      <c r="BC25" s="28">
        <f t="shared" si="12"/>
        <v>100.13745704467354</v>
      </c>
      <c r="BD25" s="28">
        <f t="shared" si="12"/>
        <v>102.05902539464653</v>
      </c>
      <c r="BE25" s="28">
        <f t="shared" si="12"/>
        <v>116.26092804303967</v>
      </c>
      <c r="BF25" s="28">
        <f t="shared" si="12"/>
        <v>103.13512262841277</v>
      </c>
      <c r="BG25" s="28">
        <f t="shared" si="12"/>
        <v>106.33763320246774</v>
      </c>
      <c r="BH25" s="28">
        <f t="shared" si="12"/>
        <v>102.0042194092827</v>
      </c>
      <c r="BI25" s="28">
        <f t="shared" si="12"/>
        <v>107.03205791106515</v>
      </c>
      <c r="BJ25" s="28">
        <f t="shared" si="12"/>
        <v>101.15942028985508</v>
      </c>
      <c r="BK25" s="28">
        <f t="shared" si="12"/>
        <v>100.76408787010504</v>
      </c>
      <c r="BL25" s="28">
        <f t="shared" si="12"/>
        <v>102.36966824644551</v>
      </c>
      <c r="BM25" s="28">
        <f t="shared" si="12"/>
        <v>104.30555555555556</v>
      </c>
      <c r="BN25" s="28">
        <f t="shared" si="12"/>
        <v>101.4203284509543</v>
      </c>
      <c r="BO25" s="28">
        <f t="shared" si="12"/>
        <v>102.53829321663019</v>
      </c>
      <c r="BP25" s="28">
        <f t="shared" si="11"/>
        <v>104.82287665386258</v>
      </c>
      <c r="BQ25" s="28">
        <f t="shared" si="11"/>
        <v>104.23452768729639</v>
      </c>
      <c r="BR25" s="28">
        <f t="shared" ref="BR25:DZ25" si="14">BR12/BQ12*100</f>
        <v>101.2890625</v>
      </c>
      <c r="BS25" s="28">
        <f t="shared" si="14"/>
        <v>102.27535672965678</v>
      </c>
      <c r="BT25" s="28">
        <f t="shared" si="14"/>
        <v>102.33785822021117</v>
      </c>
      <c r="BU25" s="28">
        <f t="shared" si="14"/>
        <v>100.62638172439202</v>
      </c>
      <c r="BV25" s="28">
        <f t="shared" si="14"/>
        <v>101.28158183815452</v>
      </c>
      <c r="BW25" s="28">
        <f t="shared" si="14"/>
        <v>101.95227765726682</v>
      </c>
      <c r="BX25" s="28">
        <f t="shared" si="14"/>
        <v>100.85106382978724</v>
      </c>
      <c r="BY25" s="28">
        <f t="shared" si="14"/>
        <v>102.60196905766526</v>
      </c>
      <c r="BZ25" s="28">
        <f t="shared" si="14"/>
        <v>100.95956134338589</v>
      </c>
      <c r="CA25" s="28">
        <f t="shared" si="14"/>
        <v>101.08621860149356</v>
      </c>
      <c r="CB25" s="28">
        <f t="shared" si="14"/>
        <v>100.60443250503694</v>
      </c>
      <c r="CC25" s="28">
        <f t="shared" si="14"/>
        <v>103.57142857142856</v>
      </c>
      <c r="CD25" s="28">
        <f t="shared" si="14"/>
        <v>102.51369642281662</v>
      </c>
      <c r="CE25" s="28">
        <f t="shared" si="14"/>
        <v>103.99245520276644</v>
      </c>
      <c r="CF25" s="28">
        <f t="shared" si="14"/>
        <v>101.42079806529625</v>
      </c>
      <c r="CG25" s="28">
        <f t="shared" si="14"/>
        <v>100</v>
      </c>
      <c r="CH25" s="28">
        <f t="shared" si="14"/>
        <v>100</v>
      </c>
      <c r="CI25" s="28">
        <f t="shared" si="14"/>
        <v>92.906110283159478</v>
      </c>
      <c r="CJ25" s="28">
        <f t="shared" si="14"/>
        <v>102.72698107154315</v>
      </c>
      <c r="CK25" s="28">
        <f t="shared" si="14"/>
        <v>97.158026233604005</v>
      </c>
      <c r="CL25" s="28">
        <f t="shared" si="14"/>
        <v>93.635486981677914</v>
      </c>
      <c r="CM25" s="28">
        <f t="shared" si="14"/>
        <v>101.06419498798489</v>
      </c>
      <c r="CN25" s="28">
        <f t="shared" si="14"/>
        <v>98.879076086956516</v>
      </c>
      <c r="CO25" s="28">
        <f t="shared" si="14"/>
        <v>101.40845070422534</v>
      </c>
      <c r="CP25" s="28">
        <f t="shared" si="14"/>
        <v>98.74661246612466</v>
      </c>
      <c r="CQ25" s="28">
        <f t="shared" si="14"/>
        <v>100.54888507718695</v>
      </c>
      <c r="CR25" s="28">
        <f t="shared" si="14"/>
        <v>98.464687819856707</v>
      </c>
      <c r="CS25" s="28">
        <f t="shared" si="14"/>
        <v>100</v>
      </c>
      <c r="CT25" s="28">
        <f t="shared" si="14"/>
        <v>99.792099792099805</v>
      </c>
      <c r="CU25" s="28">
        <f t="shared" si="14"/>
        <v>101.38888888888889</v>
      </c>
      <c r="CV25" s="28">
        <f t="shared" si="14"/>
        <v>99.31506849315069</v>
      </c>
      <c r="CW25" s="28">
        <f t="shared" si="14"/>
        <v>101.06896551724138</v>
      </c>
      <c r="CX25" s="28">
        <f t="shared" si="14"/>
        <v>100</v>
      </c>
      <c r="CY25" s="28">
        <f t="shared" si="14"/>
        <v>101.33060388945752</v>
      </c>
      <c r="CZ25" s="28">
        <f t="shared" si="14"/>
        <v>100.77441077441078</v>
      </c>
      <c r="DA25" s="28">
        <f t="shared" si="14"/>
        <v>100.6014032743067</v>
      </c>
      <c r="DB25" s="28">
        <f t="shared" si="14"/>
        <v>100.79707738292927</v>
      </c>
      <c r="DC25" s="28">
        <f t="shared" si="14"/>
        <v>100</v>
      </c>
      <c r="DD25" s="28">
        <f t="shared" si="14"/>
        <v>100.13179571663919</v>
      </c>
      <c r="DE25" s="28">
        <f t="shared" si="14"/>
        <v>99.934188877920363</v>
      </c>
      <c r="DF25" s="28">
        <f t="shared" si="14"/>
        <v>100.06585446163979</v>
      </c>
      <c r="DG25" s="28">
        <f t="shared" si="14"/>
        <v>100</v>
      </c>
      <c r="DH25" s="28">
        <f t="shared" si="14"/>
        <v>100.95426127015466</v>
      </c>
      <c r="DI25" s="28">
        <f t="shared" si="14"/>
        <v>101.01043024771839</v>
      </c>
      <c r="DJ25" s="28">
        <f t="shared" si="14"/>
        <v>99.548241368183284</v>
      </c>
      <c r="DK25" s="28">
        <f t="shared" si="14"/>
        <v>101.3938411669368</v>
      </c>
      <c r="DL25" s="28">
        <f t="shared" si="14"/>
        <v>101.21483375959079</v>
      </c>
      <c r="DM25" s="28">
        <f t="shared" si="14"/>
        <v>97.852179406190785</v>
      </c>
      <c r="DN25" s="28">
        <f t="shared" si="14"/>
        <v>97.25629438347319</v>
      </c>
      <c r="DO25" s="28">
        <f t="shared" si="14"/>
        <v>100.82973780285431</v>
      </c>
      <c r="DP25" s="28">
        <f t="shared" si="14"/>
        <v>101.81040157998682</v>
      </c>
      <c r="DQ25" s="28">
        <f t="shared" si="14"/>
        <v>95.065308761720019</v>
      </c>
      <c r="DR25" s="28">
        <f t="shared" si="14"/>
        <v>100.3349918547666</v>
      </c>
      <c r="DS25" s="28">
        <f t="shared" si="14"/>
        <v>99.653585156361217</v>
      </c>
      <c r="DT25" s="28">
        <f t="shared" si="14"/>
        <v>101.05442176870747</v>
      </c>
      <c r="DU25" s="28">
        <f t="shared" si="14"/>
        <v>100.03365870077417</v>
      </c>
      <c r="DV25" s="28">
        <f t="shared" si="14"/>
        <v>101.24495289367428</v>
      </c>
      <c r="DW25" s="28">
        <f t="shared" si="14"/>
        <v>100.69790628115653</v>
      </c>
      <c r="DX25" s="28">
        <f t="shared" si="14"/>
        <v>100.85808580858087</v>
      </c>
      <c r="DY25" s="28">
        <f t="shared" si="14"/>
        <v>100.5890052356021</v>
      </c>
      <c r="DZ25" s="28">
        <f t="shared" si="14"/>
        <v>100.45543266102797</v>
      </c>
      <c r="EA25" s="28">
        <f>EA12/DZ12*100</f>
        <v>101.10103626943005</v>
      </c>
      <c r="EB25" s="28">
        <f t="shared" si="9"/>
        <v>101.08904548366431</v>
      </c>
      <c r="EC25" s="28">
        <f t="shared" si="9"/>
        <v>101.17237008871989</v>
      </c>
      <c r="ED25" s="28">
        <f t="shared" ref="ED25:GM25" si="15">ED12/EC12*100</f>
        <v>101.00219229564674</v>
      </c>
      <c r="EE25" s="28">
        <f t="shared" si="15"/>
        <v>100.15503875968992</v>
      </c>
      <c r="EF25" s="28">
        <f t="shared" si="15"/>
        <v>100.30959752321982</v>
      </c>
      <c r="EG25" s="28">
        <f t="shared" si="15"/>
        <v>101.58950617283951</v>
      </c>
      <c r="EH25" s="28">
        <f t="shared" si="15"/>
        <v>100.16709706820599</v>
      </c>
      <c r="EI25" s="28">
        <f t="shared" si="15"/>
        <v>100.43979375189566</v>
      </c>
      <c r="EJ25" s="28">
        <f t="shared" si="15"/>
        <v>100</v>
      </c>
      <c r="EK25" s="28">
        <f t="shared" si="15"/>
        <v>100.09059338668278</v>
      </c>
      <c r="EL25" s="28">
        <f t="shared" si="15"/>
        <v>100</v>
      </c>
      <c r="EM25" s="28">
        <f t="shared" si="15"/>
        <v>100.22627847337458</v>
      </c>
      <c r="EN25" s="28">
        <f t="shared" si="15"/>
        <v>100.04515352197471</v>
      </c>
      <c r="EO25" s="28">
        <f t="shared" si="15"/>
        <v>100</v>
      </c>
      <c r="EP25" s="28">
        <f t="shared" si="15"/>
        <v>100</v>
      </c>
      <c r="EQ25" s="28">
        <f t="shared" si="15"/>
        <v>100</v>
      </c>
      <c r="ER25" s="28">
        <f t="shared" si="15"/>
        <v>100.10531066646608</v>
      </c>
      <c r="ES25" s="28">
        <f t="shared" si="15"/>
        <v>100.21039975954314</v>
      </c>
      <c r="ET25" s="28">
        <f t="shared" si="15"/>
        <v>100</v>
      </c>
      <c r="EU25" s="28">
        <f t="shared" si="15"/>
        <v>100</v>
      </c>
      <c r="EV25" s="28">
        <f t="shared" si="15"/>
        <v>100</v>
      </c>
      <c r="EW25" s="28">
        <f t="shared" si="15"/>
        <v>100</v>
      </c>
      <c r="EX25" s="28">
        <f t="shared" si="15"/>
        <v>100</v>
      </c>
      <c r="EY25" s="28">
        <f t="shared" si="15"/>
        <v>100.02999400119977</v>
      </c>
      <c r="EZ25" s="28">
        <f t="shared" si="15"/>
        <v>100</v>
      </c>
      <c r="FA25" s="28">
        <f t="shared" si="15"/>
        <v>100</v>
      </c>
      <c r="FB25" s="28">
        <f t="shared" si="15"/>
        <v>99.940029985007499</v>
      </c>
      <c r="FC25" s="28">
        <f t="shared" si="15"/>
        <v>100</v>
      </c>
      <c r="FD25" s="28">
        <f t="shared" si="15"/>
        <v>100</v>
      </c>
      <c r="FE25" s="28">
        <f t="shared" si="15"/>
        <v>100.07500750075008</v>
      </c>
      <c r="FF25" s="28">
        <f t="shared" si="15"/>
        <v>100</v>
      </c>
      <c r="FG25" s="28">
        <f t="shared" si="15"/>
        <v>100</v>
      </c>
      <c r="FH25" s="28">
        <f t="shared" si="15"/>
        <v>100</v>
      </c>
      <c r="FI25" s="28">
        <f t="shared" si="15"/>
        <v>100</v>
      </c>
      <c r="FJ25" s="28">
        <f t="shared" si="15"/>
        <v>100</v>
      </c>
      <c r="FK25" s="28">
        <f t="shared" si="15"/>
        <v>100.02998051266678</v>
      </c>
      <c r="FL25" s="28">
        <f t="shared" si="15"/>
        <v>100.02997152704928</v>
      </c>
      <c r="FM25" s="28">
        <f t="shared" si="15"/>
        <v>100.01498127340824</v>
      </c>
      <c r="FN25" s="28">
        <f t="shared" si="15"/>
        <v>100.0149790293589</v>
      </c>
      <c r="FO25" s="28">
        <f t="shared" si="15"/>
        <v>100.11981428785384</v>
      </c>
      <c r="FP25" s="28">
        <f t="shared" si="15"/>
        <v>100.05983545250561</v>
      </c>
      <c r="FQ25" s="28">
        <f t="shared" si="15"/>
        <v>100</v>
      </c>
      <c r="FR25" s="28">
        <f t="shared" si="15"/>
        <v>100</v>
      </c>
      <c r="FS25" s="28">
        <f t="shared" si="15"/>
        <v>100.05979967110181</v>
      </c>
      <c r="FT25" s="28">
        <f t="shared" si="15"/>
        <v>100</v>
      </c>
      <c r="FU25" s="28">
        <f t="shared" si="15"/>
        <v>100.02988196623338</v>
      </c>
      <c r="FV25" s="28">
        <f t="shared" si="15"/>
        <v>100</v>
      </c>
      <c r="FW25" s="28">
        <f t="shared" si="15"/>
        <v>100.0298730395818</v>
      </c>
      <c r="FX25" s="28">
        <f t="shared" si="15"/>
        <v>100.02986411826191</v>
      </c>
      <c r="FY25" s="28">
        <f t="shared" si="15"/>
        <v>100</v>
      </c>
      <c r="FZ25" s="28">
        <f t="shared" si="15"/>
        <v>100</v>
      </c>
      <c r="GA25" s="28">
        <f t="shared" si="15"/>
        <v>99.865651589789522</v>
      </c>
      <c r="GB25" s="28">
        <f t="shared" si="15"/>
        <v>99.07324364723469</v>
      </c>
      <c r="GC25" s="28">
        <f t="shared" si="15"/>
        <v>98.672299336149663</v>
      </c>
      <c r="GD25" s="28">
        <f t="shared" si="15"/>
        <v>95.107033639143737</v>
      </c>
      <c r="GE25" s="28">
        <f t="shared" si="15"/>
        <v>100.12861736334403</v>
      </c>
      <c r="GF25" s="28">
        <f t="shared" si="15"/>
        <v>100</v>
      </c>
      <c r="GG25" s="28">
        <f t="shared" si="15"/>
        <v>100</v>
      </c>
      <c r="GH25" s="28">
        <f t="shared" si="15"/>
        <v>100.35324341682723</v>
      </c>
      <c r="GI25" s="28">
        <f t="shared" si="15"/>
        <v>99.679999999999993</v>
      </c>
      <c r="GJ25" s="28">
        <f t="shared" si="15"/>
        <v>100</v>
      </c>
      <c r="GK25" s="28">
        <f t="shared" si="15"/>
        <v>98.362760834670951</v>
      </c>
      <c r="GL25" s="28">
        <f t="shared" si="15"/>
        <v>100.78328981723237</v>
      </c>
      <c r="GM25" s="28">
        <f t="shared" si="15"/>
        <v>99.757124352331601</v>
      </c>
      <c r="GN25" s="28">
        <f t="shared" si="13"/>
        <v>99.935075474760609</v>
      </c>
      <c r="GO25" s="28">
        <f t="shared" si="13"/>
        <v>101.73785934708461</v>
      </c>
      <c r="GP25" s="28">
        <f t="shared" si="3"/>
        <v>100.6066411238825</v>
      </c>
      <c r="GQ25" s="28">
        <f t="shared" si="3"/>
        <v>100.68232307204063</v>
      </c>
      <c r="GR25" s="28">
        <f t="shared" si="3"/>
        <v>100.61465721040189</v>
      </c>
      <c r="GS25" s="28">
        <f t="shared" si="3"/>
        <v>98.715538847117784</v>
      </c>
      <c r="GT25" s="28">
        <f t="shared" si="3"/>
        <v>100</v>
      </c>
      <c r="GU25" s="28">
        <f t="shared" si="3"/>
        <v>99.746112345287216</v>
      </c>
      <c r="GV25" s="28">
        <f t="shared" si="3"/>
        <v>100.73178491886732</v>
      </c>
      <c r="GW25" s="28">
        <f t="shared" si="3"/>
        <v>99.147188881869866</v>
      </c>
      <c r="GX25" s="28">
        <f t="shared" si="3"/>
        <v>100</v>
      </c>
      <c r="GY25" s="28">
        <f t="shared" si="3"/>
        <v>100</v>
      </c>
      <c r="GZ25" s="28">
        <f t="shared" si="3"/>
        <v>100.57343102899013</v>
      </c>
      <c r="HA25" s="28">
        <f t="shared" si="3"/>
        <v>100</v>
      </c>
      <c r="HB25" s="28">
        <f t="shared" si="3"/>
        <v>100.72853975292999</v>
      </c>
      <c r="HC25" s="28">
        <f t="shared" si="3"/>
        <v>100</v>
      </c>
      <c r="HD25" s="28">
        <f t="shared" si="3"/>
        <v>100</v>
      </c>
      <c r="HE25" s="28">
        <f t="shared" si="3"/>
        <v>100.28301886792453</v>
      </c>
      <c r="HF25" s="28">
        <f t="shared" si="3"/>
        <v>98.933835058011923</v>
      </c>
      <c r="HG25" s="28">
        <f t="shared" si="3"/>
        <v>99.841521394611718</v>
      </c>
      <c r="HH25" s="28">
        <f t="shared" si="3"/>
        <v>100.63492063492063</v>
      </c>
      <c r="HI25" s="28">
        <f t="shared" si="3"/>
        <v>99.022082018927435</v>
      </c>
      <c r="HJ25" s="28">
        <f t="shared" si="3"/>
        <v>100.70086014654349</v>
      </c>
      <c r="HK25" s="28">
        <f t="shared" si="3"/>
        <v>99.652008857956346</v>
      </c>
      <c r="HL25" s="28">
        <f t="shared" ref="HL25:HT25" si="16">HL12/HK12*100</f>
        <v>100</v>
      </c>
      <c r="HM25" s="28">
        <f t="shared" si="16"/>
        <v>100</v>
      </c>
      <c r="HN25" s="28">
        <f t="shared" si="16"/>
        <v>98.730158730158735</v>
      </c>
      <c r="HO25" s="28">
        <f t="shared" si="16"/>
        <v>98.392282958199345</v>
      </c>
      <c r="HP25" s="28">
        <f t="shared" si="16"/>
        <v>98.398692810457518</v>
      </c>
      <c r="HQ25" s="28">
        <f t="shared" si="16"/>
        <v>98.737960810361997</v>
      </c>
      <c r="HR25" s="28">
        <f t="shared" si="16"/>
        <v>98.284561049445003</v>
      </c>
      <c r="HS25" s="28">
        <f t="shared" si="16"/>
        <v>98.562628336755637</v>
      </c>
      <c r="HT25" s="28">
        <f t="shared" si="16"/>
        <v>100</v>
      </c>
      <c r="HU25" s="28">
        <f>HU12/HT12*100</f>
        <v>100</v>
      </c>
      <c r="HV25" s="28">
        <v>100.03472222222223</v>
      </c>
      <c r="HW25" s="28">
        <v>100.31239153071849</v>
      </c>
      <c r="HX25" s="28">
        <v>99.325259515570934</v>
      </c>
      <c r="HY25" s="28">
        <v>98.589095976310745</v>
      </c>
      <c r="HZ25" s="28">
        <v>100.81272084805654</v>
      </c>
      <c r="IA25" s="28">
        <v>102.12057483350858</v>
      </c>
      <c r="IB25" s="28">
        <v>100.58349064698815</v>
      </c>
      <c r="IC25" s="28">
        <v>101.55263606893021</v>
      </c>
      <c r="ID25" s="28">
        <v>100.80645161290323</v>
      </c>
      <c r="IE25" s="28">
        <v>100</v>
      </c>
      <c r="IF25" s="28">
        <v>101.86666666666666</v>
      </c>
      <c r="IG25" s="28">
        <v>101.83246073298429</v>
      </c>
      <c r="IH25" s="28">
        <v>101.22107969151672</v>
      </c>
      <c r="II25" s="28">
        <f t="shared" si="4"/>
        <v>101.33333333333334</v>
      </c>
      <c r="IJ25" s="28">
        <f t="shared" si="4"/>
        <v>102.33395989974936</v>
      </c>
      <c r="IK25" s="28">
        <f t="shared" si="4"/>
        <v>101.72968008571868</v>
      </c>
      <c r="IL25" s="28">
        <f t="shared" si="4"/>
        <v>102.25699668973817</v>
      </c>
      <c r="IM25" s="28">
        <f t="shared" si="4"/>
        <v>101.32430841671571</v>
      </c>
      <c r="IN25" s="28">
        <f t="shared" si="4"/>
        <v>101.68457740342724</v>
      </c>
      <c r="IO25" s="28">
        <f t="shared" si="4"/>
        <v>99.885746929448743</v>
      </c>
      <c r="IP25" s="28">
        <f t="shared" si="4"/>
        <v>99.857020303116954</v>
      </c>
      <c r="IQ25" s="28">
        <f t="shared" si="4"/>
        <v>100.28636884306988</v>
      </c>
      <c r="IR25" s="28">
        <f t="shared" si="4"/>
        <v>100.68532267275843</v>
      </c>
      <c r="IS25" s="34">
        <f t="shared" si="4"/>
        <v>100.31196823596143</v>
      </c>
      <c r="IT25" s="28">
        <f t="shared" si="7"/>
        <v>100.56545094713034</v>
      </c>
      <c r="IU25" s="28">
        <f t="shared" si="5"/>
        <v>100.78718020804047</v>
      </c>
      <c r="IV25" s="28">
        <f t="shared" si="5"/>
        <v>100.976290097629</v>
      </c>
      <c r="IW25" s="28">
        <f t="shared" si="5"/>
        <v>100.87016574585634</v>
      </c>
      <c r="IX25" s="28">
        <f t="shared" si="5"/>
        <v>102.23195946871148</v>
      </c>
      <c r="IY25" s="28">
        <f t="shared" si="5"/>
        <v>101.2858290918832</v>
      </c>
      <c r="IZ25" s="28">
        <f t="shared" si="5"/>
        <v>102.24808251785242</v>
      </c>
      <c r="JA25" s="28">
        <f t="shared" si="5"/>
        <v>102.25038799793067</v>
      </c>
      <c r="JB25" s="28">
        <f t="shared" si="5"/>
        <v>102.453832532254</v>
      </c>
      <c r="JC25" s="28">
        <f t="shared" si="5"/>
        <v>102.49382716049382</v>
      </c>
      <c r="JD25" s="28">
        <f t="shared" si="5"/>
        <v>101.73452180197542</v>
      </c>
      <c r="JE25" s="28">
        <f t="shared" si="5"/>
        <v>101.06559318020365</v>
      </c>
      <c r="JF25" s="28">
        <f t="shared" si="5"/>
        <v>101.14807872539832</v>
      </c>
      <c r="JG25" s="28">
        <f t="shared" si="5"/>
        <v>101.4593467685893</v>
      </c>
      <c r="JH25" s="28">
        <f t="shared" si="5"/>
        <v>100.75342465753425</v>
      </c>
      <c r="JI25" s="28">
        <f t="shared" ref="IU25:JZ26" si="17">JI12/JH12*100</f>
        <v>100.20394289598913</v>
      </c>
      <c r="JJ25" s="28">
        <f t="shared" si="17"/>
        <v>100.23744911804613</v>
      </c>
      <c r="JK25" s="28">
        <f t="shared" si="17"/>
        <v>100.82346305696559</v>
      </c>
      <c r="JL25" s="28">
        <f t="shared" si="17"/>
        <v>100.40277466994854</v>
      </c>
      <c r="JM25" s="28">
        <f t="shared" si="17"/>
        <v>100.75774459549811</v>
      </c>
      <c r="JN25" s="28">
        <f t="shared" si="17"/>
        <v>102.41097102410973</v>
      </c>
      <c r="JO25" s="28">
        <f t="shared" si="17"/>
        <v>104.42764578833692</v>
      </c>
      <c r="JP25" s="28">
        <f t="shared" si="17"/>
        <v>100.51706308169597</v>
      </c>
      <c r="JQ25" s="28">
        <f t="shared" si="17"/>
        <v>101.79012345679013</v>
      </c>
      <c r="JR25" s="28">
        <f t="shared" si="17"/>
        <v>98.322215484131803</v>
      </c>
      <c r="JS25" s="28">
        <f t="shared" si="17"/>
        <v>100.78125</v>
      </c>
      <c r="JT25" s="28">
        <f t="shared" si="17"/>
        <v>100.3875968992248</v>
      </c>
      <c r="JU25" s="28">
        <f t="shared" si="17"/>
        <v>103.69843527738266</v>
      </c>
      <c r="JV25" s="28">
        <f t="shared" si="17"/>
        <v>100.54869684499315</v>
      </c>
      <c r="JW25" s="28">
        <f t="shared" si="17"/>
        <v>100.6626388618203</v>
      </c>
      <c r="JX25" s="28">
        <f t="shared" si="17"/>
        <v>101.25847047434658</v>
      </c>
      <c r="JY25" s="28">
        <f t="shared" si="17"/>
        <v>100.47801147227533</v>
      </c>
      <c r="JZ25" s="28">
        <f t="shared" si="17"/>
        <v>101.54138915318744</v>
      </c>
    </row>
    <row r="26" spans="1:286" x14ac:dyDescent="0.25">
      <c r="A26" s="38" t="s">
        <v>27</v>
      </c>
      <c r="C26" s="28">
        <f t="shared" si="10"/>
        <v>100.53926145979817</v>
      </c>
      <c r="D26" s="28">
        <f t="shared" si="12"/>
        <v>105.3729849335127</v>
      </c>
      <c r="E26" s="28">
        <f t="shared" si="12"/>
        <v>99.296834069581465</v>
      </c>
      <c r="F26" s="28">
        <f t="shared" si="12"/>
        <v>101.07109087171307</v>
      </c>
      <c r="G26" s="28">
        <f t="shared" si="12"/>
        <v>102.60676003624363</v>
      </c>
      <c r="H26" s="28">
        <f t="shared" si="12"/>
        <v>96.621545789480876</v>
      </c>
      <c r="I26" s="28">
        <f t="shared" si="12"/>
        <v>99.436249491434594</v>
      </c>
      <c r="J26" s="28">
        <f t="shared" si="12"/>
        <v>101.49032954127426</v>
      </c>
      <c r="K26" s="28">
        <f t="shared" si="12"/>
        <v>104.28372436381386</v>
      </c>
      <c r="L26" s="28">
        <f t="shared" si="12"/>
        <v>100.47363342938178</v>
      </c>
      <c r="M26" s="28">
        <f t="shared" si="12"/>
        <v>102.07760592695247</v>
      </c>
      <c r="N26" s="28">
        <f t="shared" si="12"/>
        <v>94.721829496552033</v>
      </c>
      <c r="O26" s="28">
        <f t="shared" si="12"/>
        <v>102.21503211538388</v>
      </c>
      <c r="P26" s="28">
        <f t="shared" si="12"/>
        <v>101.47062888614413</v>
      </c>
      <c r="Q26" s="28">
        <f t="shared" si="12"/>
        <v>100.06780115081555</v>
      </c>
      <c r="R26" s="28">
        <f t="shared" si="12"/>
        <v>99.785246195129503</v>
      </c>
      <c r="S26" s="28">
        <f t="shared" si="12"/>
        <v>100.09736334156685</v>
      </c>
      <c r="T26" s="28">
        <f t="shared" si="12"/>
        <v>99.184634585818472</v>
      </c>
      <c r="U26" s="28">
        <f t="shared" si="12"/>
        <v>99.832108042131324</v>
      </c>
      <c r="V26" s="28">
        <f t="shared" si="12"/>
        <v>99.643865066555662</v>
      </c>
      <c r="W26" s="28">
        <f t="shared" si="12"/>
        <v>98.101487009656623</v>
      </c>
      <c r="X26" s="28">
        <f t="shared" si="12"/>
        <v>100.12247187734746</v>
      </c>
      <c r="Y26" s="28">
        <f t="shared" si="12"/>
        <v>100.12519957456296</v>
      </c>
      <c r="Z26" s="28">
        <f t="shared" si="12"/>
        <v>100.56285230643738</v>
      </c>
      <c r="AA26" s="28">
        <f t="shared" si="12"/>
        <v>99.280881347362438</v>
      </c>
      <c r="AB26" s="28">
        <f t="shared" si="12"/>
        <v>100.86844890091338</v>
      </c>
      <c r="AC26" s="28">
        <f t="shared" si="12"/>
        <v>99.371393342552167</v>
      </c>
      <c r="AD26" s="28">
        <f t="shared" si="12"/>
        <v>100.34921903623</v>
      </c>
      <c r="AE26" s="28">
        <f t="shared" si="12"/>
        <v>102.60239381542027</v>
      </c>
      <c r="AF26" s="28">
        <f t="shared" si="12"/>
        <v>101.79609621750463</v>
      </c>
      <c r="AG26" s="28">
        <f t="shared" si="12"/>
        <v>100.66615062554098</v>
      </c>
      <c r="AH26" s="28">
        <f t="shared" si="12"/>
        <v>102.14646464646464</v>
      </c>
      <c r="AI26" s="28">
        <f t="shared" si="12"/>
        <v>103.21384425216316</v>
      </c>
      <c r="AJ26" s="28">
        <f t="shared" si="12"/>
        <v>100.83832335329342</v>
      </c>
      <c r="AK26" s="28">
        <f t="shared" si="12"/>
        <v>99.168646080760098</v>
      </c>
      <c r="AL26" s="28">
        <f t="shared" si="12"/>
        <v>101.19760479041918</v>
      </c>
      <c r="AM26" s="28">
        <f t="shared" si="12"/>
        <v>96.331360946745562</v>
      </c>
      <c r="AN26" s="28">
        <f t="shared" si="12"/>
        <v>99.385749385749392</v>
      </c>
      <c r="AO26" s="28">
        <f t="shared" si="12"/>
        <v>116.06922126081582</v>
      </c>
      <c r="AP26" s="28">
        <f t="shared" si="12"/>
        <v>104.25985090521831</v>
      </c>
      <c r="AQ26" s="28">
        <f t="shared" si="12"/>
        <v>103.57507660878447</v>
      </c>
      <c r="AR26" s="28">
        <f t="shared" si="12"/>
        <v>100.29585798816566</v>
      </c>
      <c r="AS26" s="28">
        <f t="shared" si="12"/>
        <v>106.3913470993117</v>
      </c>
      <c r="AT26" s="28">
        <f t="shared" si="12"/>
        <v>100.18484288354898</v>
      </c>
      <c r="AU26" s="28">
        <f t="shared" si="12"/>
        <v>101.56826568265683</v>
      </c>
      <c r="AV26" s="28">
        <f t="shared" si="12"/>
        <v>103.905540417802</v>
      </c>
      <c r="AW26" s="28">
        <f t="shared" si="12"/>
        <v>98.6013986013986</v>
      </c>
      <c r="AX26" s="28">
        <f t="shared" si="12"/>
        <v>96.524822695035468</v>
      </c>
      <c r="AY26" s="28">
        <f t="shared" si="12"/>
        <v>104.04114621601764</v>
      </c>
      <c r="AZ26" s="28">
        <f t="shared" si="12"/>
        <v>104.59039548022599</v>
      </c>
      <c r="BA26" s="28">
        <f t="shared" si="12"/>
        <v>101.75557056043215</v>
      </c>
      <c r="BB26" s="28">
        <f t="shared" si="12"/>
        <v>102.45520902455209</v>
      </c>
      <c r="BC26" s="28">
        <f t="shared" si="12"/>
        <v>100</v>
      </c>
      <c r="BD26" s="28">
        <f t="shared" si="12"/>
        <v>101.74870466321244</v>
      </c>
      <c r="BE26" s="28">
        <f t="shared" si="12"/>
        <v>114.66581795035009</v>
      </c>
      <c r="BF26" s="28">
        <f t="shared" si="12"/>
        <v>103.6971244587543</v>
      </c>
      <c r="BG26" s="28">
        <f t="shared" si="12"/>
        <v>103.69379014989293</v>
      </c>
      <c r="BH26" s="28">
        <f t="shared" si="12"/>
        <v>102.2715539494063</v>
      </c>
      <c r="BI26" s="28">
        <f t="shared" si="12"/>
        <v>105.50227158001009</v>
      </c>
      <c r="BJ26" s="28">
        <f t="shared" si="12"/>
        <v>101.43540669856459</v>
      </c>
      <c r="BK26" s="28">
        <f t="shared" si="12"/>
        <v>100.80188679245283</v>
      </c>
      <c r="BL26" s="28">
        <f t="shared" si="12"/>
        <v>102.01216658867571</v>
      </c>
      <c r="BM26" s="28">
        <f t="shared" si="12"/>
        <v>101.88073394495414</v>
      </c>
      <c r="BN26" s="28">
        <f t="shared" si="12"/>
        <v>102.74651058081945</v>
      </c>
      <c r="BO26" s="28">
        <f t="shared" si="12"/>
        <v>102.80455740578441</v>
      </c>
      <c r="BP26" s="28">
        <f t="shared" ref="BP26:EA26" si="18">BP13/BO13*100</f>
        <v>103.15430520034101</v>
      </c>
      <c r="BQ26" s="28">
        <f t="shared" si="18"/>
        <v>103.59504132231405</v>
      </c>
      <c r="BR26" s="28">
        <f t="shared" si="18"/>
        <v>100.19944156362186</v>
      </c>
      <c r="BS26" s="28">
        <f t="shared" si="18"/>
        <v>103.02547770700636</v>
      </c>
      <c r="BT26" s="28">
        <f t="shared" si="18"/>
        <v>102.00927357032457</v>
      </c>
      <c r="BU26" s="28">
        <f t="shared" si="18"/>
        <v>103.10606060606059</v>
      </c>
      <c r="BV26" s="28">
        <f t="shared" si="18"/>
        <v>102.60837619397503</v>
      </c>
      <c r="BW26" s="28">
        <f t="shared" si="18"/>
        <v>102.29144289294665</v>
      </c>
      <c r="BX26" s="28">
        <f t="shared" si="18"/>
        <v>100.24501225061253</v>
      </c>
      <c r="BY26" s="28">
        <f t="shared" si="18"/>
        <v>101.22206703910615</v>
      </c>
      <c r="BZ26" s="28">
        <f t="shared" si="18"/>
        <v>101.41428078647809</v>
      </c>
      <c r="CA26" s="28">
        <f t="shared" si="18"/>
        <v>103.33333333333334</v>
      </c>
      <c r="CB26" s="28">
        <f t="shared" si="18"/>
        <v>103.48913759052007</v>
      </c>
      <c r="CC26" s="28">
        <f t="shared" si="18"/>
        <v>102.79898218829517</v>
      </c>
      <c r="CD26" s="28">
        <f t="shared" si="18"/>
        <v>103.74381188118811</v>
      </c>
      <c r="CE26" s="28">
        <f t="shared" si="18"/>
        <v>101.52102594691321</v>
      </c>
      <c r="CF26" s="28">
        <f t="shared" si="18"/>
        <v>101.52761457109283</v>
      </c>
      <c r="CG26" s="28">
        <f t="shared" si="18"/>
        <v>101.5625</v>
      </c>
      <c r="CH26" s="28">
        <f t="shared" si="18"/>
        <v>100</v>
      </c>
      <c r="CI26" s="28">
        <f t="shared" si="18"/>
        <v>94.444444444444443</v>
      </c>
      <c r="CJ26" s="28">
        <f t="shared" si="18"/>
        <v>107.96380090497738</v>
      </c>
      <c r="CK26" s="28">
        <f t="shared" si="18"/>
        <v>95.054484492875105</v>
      </c>
      <c r="CL26" s="28">
        <f t="shared" si="18"/>
        <v>95.443856554967667</v>
      </c>
      <c r="CM26" s="28">
        <f t="shared" si="18"/>
        <v>100.06159531875578</v>
      </c>
      <c r="CN26" s="28">
        <f t="shared" si="18"/>
        <v>99.445983379501385</v>
      </c>
      <c r="CO26" s="28">
        <f t="shared" si="18"/>
        <v>98.731043020736607</v>
      </c>
      <c r="CP26" s="28">
        <f t="shared" si="18"/>
        <v>99.18495297805643</v>
      </c>
      <c r="CQ26" s="28">
        <f t="shared" si="18"/>
        <v>100.50568900126422</v>
      </c>
      <c r="CR26" s="28">
        <f t="shared" si="18"/>
        <v>102.0440251572327</v>
      </c>
      <c r="CS26" s="28">
        <f t="shared" si="18"/>
        <v>100.86286594761171</v>
      </c>
      <c r="CT26" s="28">
        <f t="shared" si="18"/>
        <v>101.19156736938588</v>
      </c>
      <c r="CU26" s="28">
        <f t="shared" si="18"/>
        <v>100.99637681159422</v>
      </c>
      <c r="CV26" s="28">
        <f t="shared" si="18"/>
        <v>101.04633781763827</v>
      </c>
      <c r="CW26" s="28">
        <f t="shared" si="18"/>
        <v>100.8284023668639</v>
      </c>
      <c r="CX26" s="28">
        <f t="shared" si="18"/>
        <v>101.26173708920187</v>
      </c>
      <c r="CY26" s="28">
        <f t="shared" si="18"/>
        <v>101.39090118806142</v>
      </c>
      <c r="CZ26" s="28">
        <f t="shared" si="18"/>
        <v>100.74306944841382</v>
      </c>
      <c r="DA26" s="28">
        <f t="shared" si="18"/>
        <v>99.460992907801412</v>
      </c>
      <c r="DB26" s="28">
        <f t="shared" si="18"/>
        <v>98.687963491158015</v>
      </c>
      <c r="DC26" s="28">
        <f t="shared" si="18"/>
        <v>99.161849710982665</v>
      </c>
      <c r="DD26" s="28">
        <f t="shared" si="18"/>
        <v>99.067327309822204</v>
      </c>
      <c r="DE26" s="28">
        <f t="shared" si="18"/>
        <v>99.205648720211826</v>
      </c>
      <c r="DF26" s="28">
        <f t="shared" si="18"/>
        <v>100.1779359430605</v>
      </c>
      <c r="DG26" s="28">
        <f t="shared" si="18"/>
        <v>100.08880994671404</v>
      </c>
      <c r="DH26" s="28">
        <f t="shared" si="18"/>
        <v>101.86335403726707</v>
      </c>
      <c r="DI26" s="28">
        <f t="shared" si="18"/>
        <v>100.78397212543555</v>
      </c>
      <c r="DJ26" s="28">
        <f t="shared" si="18"/>
        <v>100.60501296456353</v>
      </c>
      <c r="DK26" s="28">
        <f t="shared" si="18"/>
        <v>100.57273768613975</v>
      </c>
      <c r="DL26" s="28">
        <f t="shared" si="18"/>
        <v>100.88268792710706</v>
      </c>
      <c r="DM26" s="28">
        <f t="shared" si="18"/>
        <v>99.887101326559417</v>
      </c>
      <c r="DN26" s="28">
        <f t="shared" si="18"/>
        <v>98.276349251200898</v>
      </c>
      <c r="DO26" s="28">
        <f t="shared" si="18"/>
        <v>100.14376078205865</v>
      </c>
      <c r="DP26" s="28">
        <f t="shared" si="18"/>
        <v>99.942578237151878</v>
      </c>
      <c r="DQ26" s="28">
        <f t="shared" si="18"/>
        <v>92.020970985349038</v>
      </c>
      <c r="DR26" s="28">
        <f t="shared" si="18"/>
        <v>99.577928666198389</v>
      </c>
      <c r="DS26" s="28">
        <f t="shared" si="18"/>
        <v>101.63869669219652</v>
      </c>
      <c r="DT26" s="28">
        <f t="shared" si="18"/>
        <v>100.24676125848242</v>
      </c>
      <c r="DU26" s="28">
        <f t="shared" si="18"/>
        <v>100.30769230769229</v>
      </c>
      <c r="DV26" s="28">
        <f t="shared" si="18"/>
        <v>101.34969325153374</v>
      </c>
      <c r="DW26" s="28">
        <f t="shared" si="18"/>
        <v>100.81719128329298</v>
      </c>
      <c r="DX26" s="28">
        <f t="shared" si="18"/>
        <v>100.63044130891625</v>
      </c>
      <c r="DY26" s="28">
        <f t="shared" si="18"/>
        <v>100.92482100238665</v>
      </c>
      <c r="DZ26" s="28">
        <f t="shared" si="18"/>
        <v>100.78332840673959</v>
      </c>
      <c r="EA26" s="28">
        <f t="shared" si="18"/>
        <v>101.86244317348584</v>
      </c>
      <c r="EB26" s="28">
        <f t="shared" ref="EB26:GM26" si="19">EB13/EA13*100</f>
        <v>101.1517420097898</v>
      </c>
      <c r="EC26" s="28">
        <f t="shared" si="19"/>
        <v>101.22402504981498</v>
      </c>
      <c r="ED26" s="28">
        <f t="shared" si="19"/>
        <v>100.91394825646793</v>
      </c>
      <c r="EE26" s="28">
        <f t="shared" si="19"/>
        <v>100.43193534903163</v>
      </c>
      <c r="EF26" s="28">
        <f t="shared" si="19"/>
        <v>100.9433962264151</v>
      </c>
      <c r="EG26" s="28">
        <f t="shared" si="19"/>
        <v>101.89664650907091</v>
      </c>
      <c r="EH26" s="28">
        <f t="shared" si="19"/>
        <v>100.35068788777988</v>
      </c>
      <c r="EI26" s="28">
        <f t="shared" si="19"/>
        <v>100</v>
      </c>
      <c r="EJ26" s="28">
        <f t="shared" si="19"/>
        <v>100</v>
      </c>
      <c r="EK26" s="28">
        <f t="shared" si="19"/>
        <v>100.09408602150538</v>
      </c>
      <c r="EL26" s="28">
        <f t="shared" si="19"/>
        <v>100.10742580905062</v>
      </c>
      <c r="EM26" s="28">
        <f t="shared" si="19"/>
        <v>100.14755197853789</v>
      </c>
      <c r="EN26" s="28">
        <f t="shared" si="19"/>
        <v>100.0267881060809</v>
      </c>
      <c r="EO26" s="28">
        <f t="shared" si="19"/>
        <v>100</v>
      </c>
      <c r="EP26" s="28">
        <f t="shared" si="19"/>
        <v>100</v>
      </c>
      <c r="EQ26" s="28">
        <f t="shared" si="19"/>
        <v>100</v>
      </c>
      <c r="ER26" s="28">
        <f t="shared" si="19"/>
        <v>100</v>
      </c>
      <c r="ES26" s="28">
        <f t="shared" si="19"/>
        <v>100</v>
      </c>
      <c r="ET26" s="28">
        <f t="shared" si="19"/>
        <v>100</v>
      </c>
      <c r="EU26" s="28">
        <f t="shared" si="19"/>
        <v>100</v>
      </c>
      <c r="EV26" s="28">
        <f t="shared" si="19"/>
        <v>100</v>
      </c>
      <c r="EW26" s="28">
        <f t="shared" si="19"/>
        <v>100</v>
      </c>
      <c r="EX26" s="28">
        <f t="shared" si="19"/>
        <v>100.05356186395286</v>
      </c>
      <c r="EY26" s="28">
        <f t="shared" si="19"/>
        <v>100</v>
      </c>
      <c r="EZ26" s="28">
        <f t="shared" si="19"/>
        <v>100.1338329764454</v>
      </c>
      <c r="FA26" s="28">
        <f t="shared" si="19"/>
        <v>100</v>
      </c>
      <c r="FB26" s="28">
        <f t="shared" si="19"/>
        <v>99.919807538091419</v>
      </c>
      <c r="FC26" s="28">
        <f t="shared" si="19"/>
        <v>100</v>
      </c>
      <c r="FD26" s="28">
        <f t="shared" si="19"/>
        <v>100.09363295880149</v>
      </c>
      <c r="FE26" s="28">
        <f t="shared" si="19"/>
        <v>100.04009087264467</v>
      </c>
      <c r="FF26" s="28">
        <f t="shared" si="19"/>
        <v>100</v>
      </c>
      <c r="FG26" s="28">
        <f t="shared" si="19"/>
        <v>100.02671653753674</v>
      </c>
      <c r="FH26" s="28">
        <f t="shared" si="19"/>
        <v>100.08012820512822</v>
      </c>
      <c r="FI26" s="28">
        <f t="shared" si="19"/>
        <v>100.01334400854016</v>
      </c>
      <c r="FJ26" s="28">
        <f t="shared" si="19"/>
        <v>100.25350233488992</v>
      </c>
      <c r="FK26" s="28">
        <f t="shared" si="19"/>
        <v>100.03992547245142</v>
      </c>
      <c r="FL26" s="28">
        <f t="shared" si="19"/>
        <v>100.03990953837967</v>
      </c>
      <c r="FM26" s="28">
        <f t="shared" si="19"/>
        <v>100</v>
      </c>
      <c r="FN26" s="28">
        <f t="shared" si="19"/>
        <v>100</v>
      </c>
      <c r="FO26" s="28">
        <f t="shared" si="19"/>
        <v>100.1063829787234</v>
      </c>
      <c r="FP26" s="28">
        <f t="shared" si="19"/>
        <v>100.02656748140278</v>
      </c>
      <c r="FQ26" s="28">
        <f t="shared" si="19"/>
        <v>100.05312084993361</v>
      </c>
      <c r="FR26" s="28">
        <f t="shared" si="19"/>
        <v>100</v>
      </c>
      <c r="FS26" s="28">
        <f t="shared" si="19"/>
        <v>100.03981948500133</v>
      </c>
      <c r="FT26" s="28">
        <f t="shared" si="19"/>
        <v>100</v>
      </c>
      <c r="FU26" s="28">
        <f t="shared" si="19"/>
        <v>100.01326787846622</v>
      </c>
      <c r="FV26" s="28">
        <f t="shared" si="19"/>
        <v>100</v>
      </c>
      <c r="FW26" s="28">
        <f t="shared" si="19"/>
        <v>100.09286282833642</v>
      </c>
      <c r="FX26" s="28">
        <f t="shared" si="19"/>
        <v>100</v>
      </c>
      <c r="FY26" s="28">
        <f t="shared" si="19"/>
        <v>100.03976143141153</v>
      </c>
      <c r="FZ26" s="28">
        <f t="shared" si="19"/>
        <v>100</v>
      </c>
      <c r="GA26" s="28">
        <f t="shared" si="19"/>
        <v>100</v>
      </c>
      <c r="GB26" s="28">
        <f t="shared" si="19"/>
        <v>98.595654478007418</v>
      </c>
      <c r="GC26" s="28">
        <f t="shared" si="19"/>
        <v>99.193765116904046</v>
      </c>
      <c r="GD26" s="28">
        <f t="shared" si="19"/>
        <v>95.665131400704411</v>
      </c>
      <c r="GE26" s="28">
        <f t="shared" si="19"/>
        <v>103.48343245539506</v>
      </c>
      <c r="GF26" s="28">
        <f t="shared" si="19"/>
        <v>100.42419266557197</v>
      </c>
      <c r="GG26" s="28">
        <f t="shared" si="19"/>
        <v>100</v>
      </c>
      <c r="GH26" s="28">
        <f t="shared" si="19"/>
        <v>99.441340782122893</v>
      </c>
      <c r="GI26" s="28">
        <f t="shared" si="19"/>
        <v>101.09619073718828</v>
      </c>
      <c r="GJ26" s="28">
        <f t="shared" si="19"/>
        <v>100</v>
      </c>
      <c r="GK26" s="28">
        <f t="shared" si="19"/>
        <v>100</v>
      </c>
      <c r="GL26" s="28">
        <f t="shared" si="19"/>
        <v>98.915695310382219</v>
      </c>
      <c r="GM26" s="28">
        <f t="shared" si="19"/>
        <v>100.60290490545354</v>
      </c>
      <c r="GN26" s="28">
        <f t="shared" si="13"/>
        <v>117.62462544265868</v>
      </c>
      <c r="GO26" s="28">
        <f t="shared" si="13"/>
        <v>100.25474756831866</v>
      </c>
      <c r="GP26" s="28">
        <f t="shared" si="13"/>
        <v>99.306999306999316</v>
      </c>
      <c r="GQ26" s="28">
        <f t="shared" si="13"/>
        <v>100.27913468248431</v>
      </c>
      <c r="GR26" s="28">
        <f t="shared" si="13"/>
        <v>100.3711435861749</v>
      </c>
      <c r="GS26" s="28">
        <f t="shared" si="13"/>
        <v>101.38664201525307</v>
      </c>
      <c r="GT26" s="28">
        <f t="shared" si="13"/>
        <v>100.84340095737406</v>
      </c>
      <c r="GU26" s="28">
        <f t="shared" si="13"/>
        <v>100.90415913200724</v>
      </c>
      <c r="GV26" s="28">
        <f t="shared" si="13"/>
        <v>100.57123655913978</v>
      </c>
      <c r="GW26" s="28">
        <f t="shared" si="13"/>
        <v>100.4566210045662</v>
      </c>
      <c r="GX26" s="28">
        <f t="shared" si="13"/>
        <v>100.76496674057648</v>
      </c>
      <c r="GY26" s="28">
        <f t="shared" si="13"/>
        <v>100.88018483881615</v>
      </c>
      <c r="GZ26" s="28">
        <f t="shared" si="13"/>
        <v>100.17450103609991</v>
      </c>
      <c r="HA26" s="28">
        <f t="shared" si="13"/>
        <v>101.27381600435493</v>
      </c>
      <c r="HB26" s="28">
        <f t="shared" si="13"/>
        <v>99.774242098473437</v>
      </c>
      <c r="HC26" s="28">
        <f t="shared" ref="HC26:HU26" si="20">HC13/HB13*100</f>
        <v>100.91584958517402</v>
      </c>
      <c r="HD26" s="28">
        <f t="shared" si="20"/>
        <v>100.2562459961563</v>
      </c>
      <c r="HE26" s="28">
        <f t="shared" si="20"/>
        <v>100.38338658146967</v>
      </c>
      <c r="HF26" s="28">
        <f t="shared" si="20"/>
        <v>101.33672819859963</v>
      </c>
      <c r="HG26" s="28">
        <f t="shared" si="20"/>
        <v>100.94221105527639</v>
      </c>
      <c r="HH26" s="28">
        <f t="shared" si="20"/>
        <v>99.813316739265716</v>
      </c>
      <c r="HI26" s="28">
        <f t="shared" si="20"/>
        <v>93.72402327514547</v>
      </c>
      <c r="HJ26" s="28">
        <f t="shared" si="20"/>
        <v>108.69179600886918</v>
      </c>
      <c r="HK26" s="28">
        <f t="shared" si="20"/>
        <v>100.93839249286005</v>
      </c>
      <c r="HL26" s="28">
        <f t="shared" si="20"/>
        <v>100</v>
      </c>
      <c r="HM26" s="28">
        <f t="shared" si="20"/>
        <v>100</v>
      </c>
      <c r="HN26" s="28">
        <f t="shared" si="20"/>
        <v>99.040016168148753</v>
      </c>
      <c r="HO26" s="28">
        <f t="shared" si="20"/>
        <v>97.959391898785839</v>
      </c>
      <c r="HP26" s="28">
        <f t="shared" si="20"/>
        <v>97.948130403083013</v>
      </c>
      <c r="HQ26" s="28">
        <f t="shared" si="20"/>
        <v>100.80816673755848</v>
      </c>
      <c r="HR26" s="28">
        <f t="shared" si="20"/>
        <v>100.02109704641352</v>
      </c>
      <c r="HS26" s="28">
        <f t="shared" si="20"/>
        <v>99.029740561063065</v>
      </c>
      <c r="HT26" s="28">
        <f t="shared" si="20"/>
        <v>97.763578274760391</v>
      </c>
      <c r="HU26" s="28">
        <f t="shared" si="20"/>
        <v>99.063180827886711</v>
      </c>
      <c r="HV26" s="28">
        <v>100.39586540576204</v>
      </c>
      <c r="HW26" s="28">
        <v>99.474260679079947</v>
      </c>
      <c r="HX26" s="28">
        <v>100.15415106804669</v>
      </c>
      <c r="HY26" s="28">
        <v>100.15391380826738</v>
      </c>
      <c r="HZ26" s="28">
        <v>100.24149286498354</v>
      </c>
      <c r="IA26" s="28">
        <v>101.2921594393342</v>
      </c>
      <c r="IB26" s="28">
        <v>100.43243243243242</v>
      </c>
      <c r="IC26" s="28">
        <v>101.13024757804089</v>
      </c>
      <c r="ID26" s="28">
        <v>101.33049494411921</v>
      </c>
      <c r="IE26" s="28">
        <v>101.19747899159664</v>
      </c>
      <c r="IF26" s="28">
        <v>100.95495121444881</v>
      </c>
      <c r="IG26" s="28">
        <v>101.88155459592845</v>
      </c>
      <c r="IH26" s="28">
        <v>101.52386719144214</v>
      </c>
      <c r="II26" s="28">
        <f t="shared" si="4"/>
        <v>101.73956262425448</v>
      </c>
      <c r="IJ26" s="28">
        <f t="shared" si="4"/>
        <v>102.85295554469955</v>
      </c>
      <c r="IK26" s="28">
        <f t="shared" si="4"/>
        <v>102.13736107153035</v>
      </c>
      <c r="IL26" s="28">
        <f t="shared" si="4"/>
        <v>101.87872023809523</v>
      </c>
      <c r="IM26" s="28">
        <f t="shared" si="4"/>
        <v>101.33284644878584</v>
      </c>
      <c r="IN26" s="28">
        <f t="shared" si="4"/>
        <v>100.93693693693693</v>
      </c>
      <c r="IO26" s="28">
        <f t="shared" si="4"/>
        <v>99.910746162084976</v>
      </c>
      <c r="IP26" s="28">
        <f t="shared" si="4"/>
        <v>100.21440057173486</v>
      </c>
      <c r="IQ26" s="28">
        <f t="shared" si="4"/>
        <v>100.78445355678373</v>
      </c>
      <c r="IR26" s="28">
        <f t="shared" si="4"/>
        <v>100.56607111268355</v>
      </c>
      <c r="IS26" s="34">
        <f t="shared" si="4"/>
        <v>100.63324538258576</v>
      </c>
      <c r="IT26" s="28">
        <f t="shared" si="7"/>
        <v>101.06624715958748</v>
      </c>
      <c r="IU26" s="28">
        <f t="shared" si="17"/>
        <v>100.57073676928398</v>
      </c>
      <c r="IV26" s="28">
        <f t="shared" si="17"/>
        <v>100.98882201203783</v>
      </c>
      <c r="IW26" s="28">
        <f t="shared" si="17"/>
        <v>101.0387398893146</v>
      </c>
      <c r="IX26" s="28">
        <f t="shared" si="17"/>
        <v>100.94379371365973</v>
      </c>
      <c r="IY26" s="28">
        <f t="shared" si="17"/>
        <v>99.515819350530094</v>
      </c>
      <c r="IZ26" s="28">
        <f t="shared" si="17"/>
        <v>100.70463887257782</v>
      </c>
      <c r="JA26" s="28">
        <f t="shared" si="17"/>
        <v>101.15785089546023</v>
      </c>
      <c r="JB26" s="28">
        <f t="shared" si="17"/>
        <v>101.62220026350461</v>
      </c>
      <c r="JC26" s="28">
        <f t="shared" si="17"/>
        <v>101.53958350214731</v>
      </c>
      <c r="JD26" s="28">
        <f t="shared" si="17"/>
        <v>101.42845742558455</v>
      </c>
      <c r="JE26" s="28">
        <f t="shared" si="17"/>
        <v>100.81825334382377</v>
      </c>
      <c r="JF26" s="28">
        <f t="shared" si="17"/>
        <v>101.21741844857188</v>
      </c>
      <c r="JG26" s="28">
        <f t="shared" si="17"/>
        <v>101.26445643793369</v>
      </c>
      <c r="JH26" s="28">
        <f t="shared" si="17"/>
        <v>100.42637429572103</v>
      </c>
      <c r="JI26" s="28">
        <f t="shared" si="17"/>
        <v>100.16679302501896</v>
      </c>
      <c r="JJ26" s="28">
        <f t="shared" si="17"/>
        <v>99.757795943082044</v>
      </c>
      <c r="JK26" s="28">
        <f t="shared" si="17"/>
        <v>100.01517450682853</v>
      </c>
      <c r="JL26" s="28">
        <f t="shared" si="17"/>
        <v>100.40964952207557</v>
      </c>
      <c r="JM26" s="28">
        <f t="shared" si="17"/>
        <v>100.71018434572379</v>
      </c>
      <c r="JN26" s="28">
        <f t="shared" si="17"/>
        <v>101.68792198049512</v>
      </c>
      <c r="JO26" s="28">
        <f t="shared" si="17"/>
        <v>101.88122464035412</v>
      </c>
      <c r="JP26" s="28">
        <f t="shared" si="17"/>
        <v>101.43374366401159</v>
      </c>
      <c r="JQ26" s="28">
        <f t="shared" si="17"/>
        <v>101.41347801256424</v>
      </c>
      <c r="JR26" s="28">
        <f t="shared" si="17"/>
        <v>103.1254399549486</v>
      </c>
      <c r="JS26" s="28">
        <f t="shared" si="17"/>
        <v>103.3174061433447</v>
      </c>
      <c r="JT26" s="28">
        <f t="shared" si="17"/>
        <v>100.33033826638477</v>
      </c>
      <c r="JU26" s="28">
        <f t="shared" si="17"/>
        <v>101.23798235216648</v>
      </c>
      <c r="JV26" s="28">
        <f t="shared" si="17"/>
        <v>100.87160140496943</v>
      </c>
      <c r="JW26" s="28">
        <f t="shared" si="17"/>
        <v>101.2251741036884</v>
      </c>
      <c r="JX26" s="28">
        <f t="shared" si="17"/>
        <v>100.84087144859217</v>
      </c>
      <c r="JY26" s="28">
        <f t="shared" si="17"/>
        <v>100.89703095388502</v>
      </c>
      <c r="JZ26" s="28">
        <f t="shared" si="17"/>
        <v>101.62784873528675</v>
      </c>
    </row>
    <row r="27" spans="1:286" x14ac:dyDescent="0.25">
      <c r="A27"/>
    </row>
    <row r="28" spans="1:286" x14ac:dyDescent="0.25">
      <c r="A28"/>
    </row>
    <row r="29" spans="1:286" x14ac:dyDescent="0.25">
      <c r="A29"/>
    </row>
    <row r="30" spans="1:286" x14ac:dyDescent="0.25">
      <c r="A30"/>
    </row>
    <row r="31" spans="1:286" x14ac:dyDescent="0.25">
      <c r="A31"/>
    </row>
    <row r="32" spans="1:286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Yerevan</vt:lpstr>
      <vt:lpstr>Yerevan, varch. shrj.</vt:lpstr>
      <vt:lpstr>Marzer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Լուիզա Բենյամինովա</dc:creator>
  <cp:lastModifiedBy>Կարինե Համբարյան</cp:lastModifiedBy>
  <dcterms:created xsi:type="dcterms:W3CDTF">2015-06-05T18:17:20Z</dcterms:created>
  <dcterms:modified xsi:type="dcterms:W3CDTF">2025-11-18T11:52:01Z</dcterms:modified>
</cp:coreProperties>
</file>